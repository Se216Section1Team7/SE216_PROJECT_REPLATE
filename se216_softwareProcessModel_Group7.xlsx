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<sst xmlns="http://schemas.openxmlformats.org/spreadsheetml/2006/main" count="183" uniqueCount="95">
  <si>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r>
      <rPr>
        <b/>
        <sz val="16"/>
        <color theme="1"/>
        <rFont val="Aptos Narrow (Gövde)"/>
        <charset val="134"/>
      </rPr>
      <t xml:space="preserve">Project Name: </t>
    </r>
    <r>
      <rPr>
        <sz val="16"/>
        <color theme="1"/>
        <rFont val="Aptos Narrow (Gövde)"/>
        <charset val="134"/>
      </rPr>
      <t>RePlate</t>
    </r>
    <r>
      <rPr>
        <sz val="12"/>
        <color theme="1"/>
        <rFont val="Aptos Narrow"/>
        <charset val="134"/>
        <scheme val="minor"/>
      </rPr>
      <t xml:space="preserve">
</t>
    </r>
    <r>
      <rPr>
        <b/>
        <sz val="12"/>
        <color theme="1"/>
        <rFont val="Aptos Narrow"/>
        <charset val="134"/>
        <scheme val="minor"/>
      </rPr>
      <t xml:space="preserve">
</t>
    </r>
    <r>
      <rPr>
        <b/>
        <sz val="14"/>
        <color theme="1"/>
        <rFont val="Aptos Narrow (Gövde)"/>
        <charset val="134"/>
      </rPr>
      <t>Group Members: Eren PAMUK , Hayrünisa TOPRAK , Hüseyin Alp ERCANDANOĞLU , Hüseyin ESEN , Beyza Makbule YILDIRIM , Ramazan YILDIRIM , Aylin DÖNMEZ</t>
    </r>
  </si>
  <si>
    <t>#</t>
  </si>
  <si>
    <t>Product BackLog</t>
  </si>
  <si>
    <t>Database (PostgreSQL) planning for users, businesses, municipalities, and product listings</t>
  </si>
  <si>
    <t>Creation of separate registration/login forms and personal profiles for municipalities, businesses, and clients</t>
  </si>
  <si>
    <t>Allowing businesses to declare surplus food details (category, quantity, expiration date, photo, pickup time).</t>
  </si>
  <si>
    <t>Integration of Google Maps API to display surplus food on an interactive map with a maximum GPS error margin of 25 meters.</t>
  </si>
  <si>
    <t>Implementation of search and filter functionality by category, price, distance, expiration date, and stock.</t>
  </si>
  <si>
    <t>Setup of a reservation system with real-time stock deduction and unique QR code generation</t>
  </si>
  <si>
    <t>Allowing users to cancel reservations up to 30 minutes before pickup, making the stock available again</t>
  </si>
  <si>
    <t>Secure processing of in-app payments using external payment providers for discounted surplus food purchases.</t>
  </si>
  <si>
    <t>Implementation of a two-stage redistribution model that automatically transfers uncollected food to municipal distribution centers.</t>
  </si>
  <si>
    <t>Development of a municipal management panel to track incoming transfers and process user pickups.</t>
  </si>
  <si>
    <t>Development of personal impact dashboards displaying total food saved (kg), money saved (TL), and CO2 emission reduction.</t>
  </si>
  <si>
    <t>Provision of statistical dashboards for busine
sses and municipalities to analyze waste reduction and regional food data.</t>
  </si>
  <si>
    <t>Implementation of automatic dynamic pricing suggestions for products within 24 hours of their expiration date</t>
  </si>
  <si>
    <t>Sending push notifications for new surplus products, price drops, products approaching their expiration date, and favorite branches.</t>
  </si>
  <si>
    <t>Addition of donation features allowing users to donate meals for people in need and pet food for animal shelters.</t>
  </si>
  <si>
    <t>Implementation of AES-256 encryption and SSL/TLS protocols for all user, payment, and reservation data.</t>
  </si>
  <si>
    <t>Optimization of the application for Android 10+ and iOS 14+ on devices with at least 4GB RAM. (Lower limits are kept this way for backward compatibility).</t>
  </si>
  <si>
    <t>Ensuring the system supports 10,000 concurrent users with search/filter response times below 3 seconds.</t>
  </si>
  <si>
    <t>Implementation of automatic daily backups and ensuring the system can restart itself within 5 minutes in case of a crash.</t>
  </si>
  <si>
    <t>Designing the system with a modular architecture for future AI prediction updates and feature expansions.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</si>
  <si>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</si>
  <si>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</si>
  <si>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</si>
  <si>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</si>
  <si>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</si>
  <si>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</si>
  <si>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</si>
  <si>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</si>
  <si>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</si>
  <si>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Product Owner</t>
  </si>
  <si>
    <t>Database (PostgreSQL) planning for users, businesses, municipalities, and product listings.</t>
  </si>
  <si>
    <t>In Progress</t>
  </si>
  <si>
    <t>High</t>
  </si>
  <si>
    <t>Implement JWT-based authentication. Ensure strict separation of privileges between Customer, Business, and Municipality roles.</t>
  </si>
  <si>
    <t>Developer</t>
  </si>
  <si>
    <t>Creation of separate registration/login forms and personal profiles for all users.</t>
  </si>
  <si>
    <t>Ready to Start</t>
  </si>
  <si>
    <t>Make sure bussinesses, users, and the city have their own private login/registration screens and profiles.</t>
  </si>
  <si>
    <t>Implementation of AES-256 encryption and SSL/TLS protocols for all user/payment data</t>
  </si>
  <si>
    <t>Using the AES-256 encryption since this system will also contain information and data of people with high level of authority</t>
  </si>
  <si>
    <t>BACKLOG</t>
  </si>
  <si>
    <t>SPRINT-2</t>
  </si>
  <si>
    <t>Allowing businesses to declare surplus food details (category, qty, exp date, photo)</t>
  </si>
  <si>
    <t>Not Started</t>
  </si>
  <si>
    <t>Medium</t>
  </si>
  <si>
    <t>Implement secure image uploads (e.g., via AWS S3). Add strict frontend/backend validation so businesses cannot set expiration dates in the past.</t>
  </si>
  <si>
    <t>Integration of Google Maps API to display surplus food with 25m GPS error margin.</t>
  </si>
  <si>
    <t>Utilize Geocoding and Places APIs. Optimize API calls by clustering markers to keep cloud costs low and performance high.</t>
  </si>
  <si>
    <t>Implementation of search and filter functionality by category, price, distance, and stock.</t>
  </si>
  <si>
    <t>Leverage PostGIS functions (like ST_Distance) for fast, radius-based location filtering. Index categories and prices heavily.</t>
  </si>
  <si>
    <t>Setup of a reservation system with real-time stock deduction and unique QR generation.</t>
  </si>
  <si>
    <t>Implement optimistic locking in the database to prevent double-booking items. Use a lightweight library for QR generation.</t>
  </si>
  <si>
    <t>Allowing users to cancel reservations up to 30 minutes before pickup.</t>
  </si>
  <si>
    <t>Low</t>
  </si>
  <si>
    <t>Set up a background worker to automatically return canceled stock to the public pool if canceled within the allowed window.</t>
  </si>
  <si>
    <t>SPRINT-3</t>
  </si>
  <si>
    <t>Secure processing of in-app payments using external providers for surplus food.</t>
  </si>
  <si>
    <t>Integrate a secure payment gateway like Stripe or Iyzico. Set up robust webhook handlers to update order statuses upon payment success/failure.</t>
  </si>
  <si>
    <t>Implementation of a two-stage redistribution model (auto-transfer to municipalities).</t>
  </si>
  <si>
    <t>Create modules that scan for expired user-pickup times and automatically flag the items for municipal transfer.</t>
  </si>
  <si>
    <t>Development of a municipal management panel to track  incoming transfers and process user pickups.</t>
  </si>
  <si>
    <t>A screen for city staff to track scaned user QR codes and food pickups.</t>
  </si>
  <si>
    <t>Sending push notifications for new products, price drops, and favorite branches.</t>
  </si>
  <si>
    <t>Notify a user when a branch nearby has a deal</t>
  </si>
  <si>
    <t>Addition of donation features for people in need and animal shelters.</t>
  </si>
  <si>
    <t>User should be able to make donations by sending donations or by purchasing food/supplies</t>
  </si>
  <si>
    <t>Designing the system with a modular architecture for future AI prediction updates.</t>
  </si>
  <si>
    <t>Create clean system architecture for the pricing and recommendation modules so AI models can easily replace rule-based logic later.</t>
  </si>
  <si>
    <t>SPRINT-4</t>
  </si>
  <si>
    <t>Development of personal impact dashboards (food saved, money saved, CO2 reduction).</t>
  </si>
  <si>
    <t>Calculate metrics dynamically from historical reservation data. Use lightweight charting libraries (like Chart.js) for the UI.</t>
  </si>
  <si>
    <t>Provision of statistical dashboards for businesses and municipalities to analyze waste.</t>
  </si>
  <si>
    <t>Return data that informs which and how much of the food and supplements were unconsumed or purchased , resulting in waste</t>
  </si>
  <si>
    <t xml:space="preserve">Implementation of automatic dynamic pricing suggestions for products 24h from expiry. </t>
  </si>
  <si>
    <t>Business owner shall be regularly receiving updates on the product thats getting close to expire throughout the 24 hours</t>
  </si>
  <si>
    <t>Test optimization of the application for Android 10+ and iOS 14+ on 4GB RAM devices.</t>
  </si>
  <si>
    <t xml:space="preserve">Test if the app runs smoothly even on devices that fulfill only the minimal requirements and make sure it runs compatible with all devices </t>
  </si>
  <si>
    <t>Testing if the system supports 10,000 concurrent users with 3s response times.</t>
  </si>
  <si>
    <t>Test the app to stay fast even when thousands of people use it at once.</t>
  </si>
  <si>
    <t>Implementation of automatic daily backups and 5-minute crash restart capability.</t>
  </si>
  <si>
    <t>Save a copy of all data every day and make a plan to restart quickly if it crashes.</t>
  </si>
  <si>
    <t>Testing for Security Concerns</t>
  </si>
  <si>
    <t>Run tests to see how well the system is designed 
without security vulnerabilities or exploits.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</si>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</sst>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2"/>
      <color theme="1"/>
      <name val="Aptos Narrow"/>
      <charset val="162"/>
      <scheme val="minor"/>
    </font>
    <font>
      <b/>
      <sz val="12"/>
      <color theme="1"/>
      <name val="Aptos Narrow"/>
      <charset val="134"/>
      <scheme val="minor"/>
    </font>
    <font>
      <sz val="22"/>
      <color theme="1"/>
      <name val="Century Gothic"/>
      <charset val="134"/>
    </font>
    <font>
      <sz val="10"/>
      <color theme="1"/>
      <name val="Century Gothic"/>
      <charset val="134"/>
    </font>
    <font>
      <sz val="14"/>
      <color theme="0"/>
      <name val="Century Gothic"/>
      <charset val="134"/>
    </font>
    <font>
      <b/>
      <sz val="12"/>
      <color theme="1"/>
      <name val="Arial"/>
      <charset val="134"/>
    </font>
    <font>
      <sz val="14"/>
      <color theme="1"/>
      <name val="Century Gothic"/>
      <charset val="134"/>
    </font>
    <font>
      <b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22"/>
      <color theme="8" tint="-0.249977111117893"/>
      <name val="Century Gothic"/>
      <charset val="134"/>
    </font>
    <font>
      <sz val="11"/>
      <color theme="8" tint="-0.249977111117893"/>
      <name val="Century Gothic"/>
      <charset val="134"/>
    </font>
    <font>
      <sz val="11"/>
      <color rgb="FFFFFFFF"/>
      <name val="Century Gothic"/>
      <charset val="134"/>
    </font>
    <font>
      <sz val="14"/>
      <color theme="8" tint="-0.249977111117893"/>
      <name val="Century Gothic"/>
      <charset val="134"/>
    </font>
    <font>
      <sz val="24"/>
      <color theme="8" tint="-0.249977111117893"/>
      <name val="Century Gothic"/>
      <charset val="134"/>
    </font>
    <font>
      <sz val="10"/>
      <color theme="1"/>
      <name val="Century Gothic"/>
      <charset val="162"/>
    </font>
    <font>
      <b/>
      <sz val="16"/>
      <color theme="1"/>
      <name val="Aptos Narrow (Gövde)"/>
      <charset val="134"/>
    </font>
    <font>
      <sz val="14"/>
      <color theme="1"/>
      <name val="Calibri"/>
      <charset val="134"/>
    </font>
    <font>
      <sz val="14"/>
      <color theme="1"/>
      <name val="Calibri"/>
      <charset val="162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6"/>
      <color theme="1"/>
      <name val="Aptos Narrow (Gövde)"/>
      <charset val="134"/>
    </font>
    <font>
      <sz val="12"/>
      <color theme="1"/>
      <name val="Aptos Narrow"/>
      <charset val="134"/>
      <scheme val="minor"/>
    </font>
    <font>
      <b/>
      <sz val="14"/>
      <color theme="1"/>
      <name val="Aptos Narrow (Gövde)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1" tint="0.349986266670736"/>
        <bgColor rgb="FF0000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3" borderId="3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33" applyNumberFormat="0" applyAlignment="0" applyProtection="0">
      <alignment vertical="center"/>
    </xf>
    <xf numFmtId="0" fontId="28" fillId="15" borderId="34" applyNumberFormat="0" applyAlignment="0" applyProtection="0">
      <alignment vertical="center"/>
    </xf>
    <xf numFmtId="0" fontId="29" fillId="15" borderId="33" applyNumberFormat="0" applyAlignment="0" applyProtection="0">
      <alignment vertical="center"/>
    </xf>
    <xf numFmtId="0" fontId="30" fillId="16" borderId="35" applyNumberFormat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5" xfId="0" applyFill="1" applyBorder="1"/>
    <xf numFmtId="0" fontId="1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2" borderId="6" xfId="0" applyFill="1" applyBorder="1"/>
    <xf numFmtId="0" fontId="1" fillId="2" borderId="7" xfId="0" applyFont="1" applyFill="1" applyBorder="1" applyAlignment="1">
      <alignment wrapText="1"/>
    </xf>
    <xf numFmtId="0" fontId="0" fillId="2" borderId="7" xfId="0" applyFill="1" applyBorder="1"/>
    <xf numFmtId="0" fontId="0" fillId="2" borderId="8" xfId="0" applyFill="1" applyBorder="1"/>
    <xf numFmtId="0" fontId="5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vertical="center" wrapText="1"/>
    </xf>
    <xf numFmtId="0" fontId="0" fillId="2" borderId="10" xfId="0" applyFill="1" applyBorder="1"/>
    <xf numFmtId="0" fontId="7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/>
    <xf numFmtId="0" fontId="3" fillId="2" borderId="11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1"/>
    </xf>
    <xf numFmtId="0" fontId="8" fillId="2" borderId="11" xfId="0" applyFont="1" applyFill="1" applyBorder="1" applyAlignment="1">
      <alignment horizontal="left" vertical="center" wrapText="1" indent="1" readingOrder="1"/>
    </xf>
    <xf numFmtId="0" fontId="8" fillId="0" borderId="0" xfId="0" applyFont="1" applyFill="1" applyBorder="1" applyAlignment="1">
      <alignment horizontal="left" vertical="center" wrapText="1" indent="1" readingOrder="1"/>
    </xf>
    <xf numFmtId="0" fontId="3" fillId="2" borderId="0" xfId="0" applyFont="1" applyFill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4" borderId="11" xfId="0" applyFont="1" applyFill="1" applyBorder="1" applyAlignment="1">
      <alignment horizontal="left" vertical="center" wrapText="1" indent="1"/>
    </xf>
    <xf numFmtId="0" fontId="3" fillId="5" borderId="1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0" fillId="2" borderId="13" xfId="0" applyFill="1" applyBorder="1"/>
    <xf numFmtId="0" fontId="3" fillId="2" borderId="13" xfId="0" applyFont="1" applyFill="1" applyBorder="1" applyAlignment="1">
      <alignment vertical="center" wrapText="1"/>
    </xf>
    <xf numFmtId="0" fontId="0" fillId="2" borderId="14" xfId="0" applyFill="1" applyBorder="1"/>
    <xf numFmtId="0" fontId="0" fillId="0" borderId="0" xfId="0" applyFill="1"/>
    <xf numFmtId="0" fontId="9" fillId="0" borderId="0" xfId="0" applyFont="1" applyAlignment="1">
      <alignment horizontal="center"/>
    </xf>
    <xf numFmtId="0" fontId="10" fillId="6" borderId="15" xfId="0" applyFont="1" applyFill="1" applyBorder="1" applyAlignment="1">
      <alignment horizontal="left" vertical="center" indent="1"/>
    </xf>
    <xf numFmtId="0" fontId="10" fillId="6" borderId="15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 indent="1"/>
    </xf>
    <xf numFmtId="58" fontId="8" fillId="8" borderId="11" xfId="0" applyNumberFormat="1" applyFont="1" applyFill="1" applyBorder="1" applyAlignment="1">
      <alignment horizontal="left" vertical="center" wrapText="1" inden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indent="1"/>
    </xf>
    <xf numFmtId="58" fontId="8" fillId="8" borderId="18" xfId="0" applyNumberFormat="1" applyFont="1" applyFill="1" applyBorder="1" applyAlignment="1">
      <alignment horizontal="left" vertical="center" wrapText="1" indent="1" readingOrder="1"/>
    </xf>
    <xf numFmtId="0" fontId="8" fillId="9" borderId="18" xfId="0" applyFont="1" applyFill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left" vertical="center" wrapText="1" indent="1"/>
    </xf>
    <xf numFmtId="58" fontId="8" fillId="8" borderId="20" xfId="0" applyNumberFormat="1" applyFont="1" applyFill="1" applyBorder="1" applyAlignment="1">
      <alignment horizontal="left" vertical="center" wrapText="1" indent="1"/>
    </xf>
    <xf numFmtId="0" fontId="8" fillId="9" borderId="20" xfId="0" applyFont="1" applyFill="1" applyBorder="1" applyAlignment="1">
      <alignment horizontal="center" vertical="center" wrapText="1" readingOrder="1"/>
    </xf>
    <xf numFmtId="0" fontId="3" fillId="2" borderId="21" xfId="0" applyFont="1" applyFill="1" applyBorder="1" applyAlignment="1">
      <alignment horizontal="left" vertical="center" wrapText="1" indent="1"/>
    </xf>
    <xf numFmtId="0" fontId="3" fillId="2" borderId="19" xfId="0" applyFont="1" applyFill="1" applyBorder="1" applyAlignment="1">
      <alignment horizontal="left" vertical="center" wrapText="1" indent="1"/>
    </xf>
    <xf numFmtId="58" fontId="3" fillId="10" borderId="19" xfId="0" applyNumberFormat="1" applyFont="1" applyFill="1" applyBorder="1" applyAlignment="1">
      <alignment horizontal="center" vertical="center"/>
    </xf>
    <xf numFmtId="0" fontId="0" fillId="11" borderId="0" xfId="0" applyFill="1"/>
    <xf numFmtId="2" fontId="12" fillId="11" borderId="0" xfId="0" applyNumberFormat="1" applyFont="1" applyFill="1" applyAlignment="1">
      <alignment horizontal="center" vertical="center"/>
    </xf>
    <xf numFmtId="1" fontId="12" fillId="6" borderId="0" xfId="0" applyNumberFormat="1" applyFont="1" applyFill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0" fillId="10" borderId="23" xfId="0" applyFill="1" applyBorder="1" applyAlignment="1">
      <alignment horizontal="center"/>
    </xf>
    <xf numFmtId="0" fontId="13" fillId="6" borderId="25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3" fillId="6" borderId="27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0" fontId="9" fillId="0" borderId="0" xfId="0" applyFont="1"/>
    <xf numFmtId="0" fontId="10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indent="1"/>
    </xf>
    <xf numFmtId="0" fontId="3" fillId="0" borderId="17" xfId="0" applyFont="1" applyBorder="1" applyAlignment="1">
      <alignment horizontal="left" vertical="center" wrapText="1" indent="1"/>
    </xf>
    <xf numFmtId="0" fontId="3" fillId="0" borderId="19" xfId="0" applyFont="1" applyBorder="1" applyAlignment="1">
      <alignment horizontal="left" vertical="center" wrapText="1" indent="1"/>
    </xf>
    <xf numFmtId="0" fontId="0" fillId="10" borderId="24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8" fillId="0" borderId="11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3" fillId="12" borderId="11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11" xfId="0" applyFont="1" applyFill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9" borderId="11" xfId="0" applyFont="1" applyFill="1" applyBorder="1" applyAlignment="1">
      <alignment horizontal="center" vertical="center" readingOrder="1"/>
    </xf>
    <xf numFmtId="0" fontId="8" fillId="0" borderId="11" xfId="0" applyFont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1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 wrapText="1"/>
    </xf>
    <xf numFmtId="0" fontId="17" fillId="0" borderId="11" xfId="0" applyFont="1" applyBorder="1" applyAlignment="1">
      <alignment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13">
    <dxf>
      <fill>
        <patternFill patternType="solid">
          <bgColor theme="5" tint="0.799981688894314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94EFFB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555625</xdr:colOff>
      <xdr:row>22</xdr:row>
      <xdr:rowOff>261620</xdr:rowOff>
    </xdr:from>
    <xdr:to>
      <xdr:col>5</xdr:col>
      <xdr:colOff>1501775</xdr:colOff>
      <xdr:row>28</xdr:row>
      <xdr:rowOff>57785</xdr:rowOff>
    </xdr:to>
    <xdr:sp>
      <xdr:nvSpPr>
        <xdr:cNvPr id="3" name="Snip Single Corner Rectangle 20"/>
        <xdr:cNvSpPr/>
      </xdr:nvSpPr>
      <xdr:spPr>
        <a:xfrm>
          <a:off x="7652385" y="7576820"/>
          <a:ext cx="3684270" cy="176466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Social Services Director from the Municipality, I would need to register using a registration form for municipality users for access to more features</a:t>
          </a:r>
          <a:endParaRPr lang="tr-TR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179070</xdr:colOff>
      <xdr:row>24</xdr:row>
      <xdr:rowOff>240030</xdr:rowOff>
    </xdr:from>
    <xdr:to>
      <xdr:col>5</xdr:col>
      <xdr:colOff>1169670</xdr:colOff>
      <xdr:row>27</xdr:row>
      <xdr:rowOff>172720</xdr:rowOff>
    </xdr:to>
    <xdr:sp>
      <xdr:nvSpPr>
        <xdr:cNvPr id="11" name="Freeform 2"/>
        <xdr:cNvSpPr/>
      </xdr:nvSpPr>
      <xdr:spPr>
        <a:xfrm>
          <a:off x="10013950" y="8406130"/>
          <a:ext cx="990600" cy="77089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1100" b="1">
              <a:latin typeface="Century Gothic" panose="020B0502020202020204" pitchFamily="34" charset="0"/>
            </a:rPr>
            <a:t>DEV 1</a:t>
          </a:r>
          <a:endParaRPr lang="tr-TR" altLang="en-US" sz="11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2130425</xdr:colOff>
      <xdr:row>22</xdr:row>
      <xdr:rowOff>475615</xdr:rowOff>
    </xdr:from>
    <xdr:to>
      <xdr:col>8</xdr:col>
      <xdr:colOff>270510</xdr:colOff>
      <xdr:row>28</xdr:row>
      <xdr:rowOff>66040</xdr:rowOff>
    </xdr:to>
    <xdr:sp>
      <xdr:nvSpPr>
        <xdr:cNvPr id="2" name="Snip Single Corner Rectangle 20"/>
        <xdr:cNvSpPr/>
      </xdr:nvSpPr>
      <xdr:spPr>
        <a:xfrm>
          <a:off x="11965305" y="7790815"/>
          <a:ext cx="3253105" cy="155892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alt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city staff member ,I want the system to handle requests with fast precision and accuracy and also a strict separation between customers and businesses</a:t>
          </a:r>
          <a:endParaRPr lang="tr-TR" alt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tr-TR" alt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tr-TR" alt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  <a:endParaRPr lang="tr-TR" alt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493395</xdr:colOff>
      <xdr:row>24</xdr:row>
      <xdr:rowOff>250825</xdr:rowOff>
    </xdr:from>
    <xdr:to>
      <xdr:col>8</xdr:col>
      <xdr:colOff>173355</xdr:colOff>
      <xdr:row>27</xdr:row>
      <xdr:rowOff>222250</xdr:rowOff>
    </xdr:to>
    <xdr:sp>
      <xdr:nvSpPr>
        <xdr:cNvPr id="4" name="Freeform 10"/>
        <xdr:cNvSpPr/>
      </xdr:nvSpPr>
      <xdr:spPr>
        <a:xfrm>
          <a:off x="14379575" y="8416925"/>
          <a:ext cx="741680" cy="80962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900" b="1">
              <a:latin typeface="Century Gothic" panose="020B0502020202020204" pitchFamily="34" charset="0"/>
            </a:rPr>
            <a:t>DEV 2</a:t>
          </a:r>
          <a:endParaRPr lang="tr-TR" alt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532765</xdr:colOff>
      <xdr:row>22</xdr:row>
      <xdr:rowOff>367665</xdr:rowOff>
    </xdr:from>
    <xdr:to>
      <xdr:col>10</xdr:col>
      <xdr:colOff>243205</xdr:colOff>
      <xdr:row>28</xdr:row>
      <xdr:rowOff>273050</xdr:rowOff>
    </xdr:to>
    <xdr:sp>
      <xdr:nvSpPr>
        <xdr:cNvPr id="5" name="Snip Single Corner Rectangle 20"/>
        <xdr:cNvSpPr/>
      </xdr:nvSpPr>
      <xdr:spPr>
        <a:xfrm>
          <a:off x="15480665" y="7682865"/>
          <a:ext cx="3831590" cy="187388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alt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I want my personal data and payment information to be protected well so that I can rescue food and support my community with total peace of mind, knowing that my data is safe and secure.</a:t>
          </a:r>
          <a:endParaRPr lang="tr-TR" alt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tr-TR" alt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 : Ready to Start</a:t>
          </a:r>
          <a:endParaRPr lang="tr-TR" alt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128905</xdr:colOff>
      <xdr:row>25</xdr:row>
      <xdr:rowOff>237490</xdr:rowOff>
    </xdr:from>
    <xdr:to>
      <xdr:col>10</xdr:col>
      <xdr:colOff>102870</xdr:colOff>
      <xdr:row>29</xdr:row>
      <xdr:rowOff>73660</xdr:rowOff>
    </xdr:to>
    <xdr:sp>
      <xdr:nvSpPr>
        <xdr:cNvPr id="6" name="Freeform 10"/>
        <xdr:cNvSpPr/>
      </xdr:nvSpPr>
      <xdr:spPr>
        <a:xfrm>
          <a:off x="18136235" y="8682990"/>
          <a:ext cx="1035685" cy="95377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1600" b="1">
              <a:latin typeface="Century Gothic" panose="020B0502020202020204" pitchFamily="34" charset="0"/>
            </a:rPr>
            <a:t>Dev 3</a:t>
          </a:r>
          <a:endParaRPr lang="tr-TR" altLang="en-US" sz="16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581025</xdr:colOff>
      <xdr:row>23</xdr:row>
      <xdr:rowOff>200025</xdr:rowOff>
    </xdr:from>
    <xdr:to>
      <xdr:col>5</xdr:col>
      <xdr:colOff>1280795</xdr:colOff>
      <xdr:row>28</xdr:row>
      <xdr:rowOff>258445</xdr:rowOff>
    </xdr:to>
    <xdr:sp>
      <xdr:nvSpPr>
        <xdr:cNvPr id="2" name="Snip Single Corner Rectangle 20"/>
        <xdr:cNvSpPr/>
      </xdr:nvSpPr>
      <xdr:spPr>
        <a:xfrm>
          <a:off x="7077075" y="8582025"/>
          <a:ext cx="3437890" cy="1747520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altLang="en-US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business owner, I want to be able to list the surplus food I have in my hands and upload its expiration date and picture.</a:t>
          </a:r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1720215</xdr:colOff>
      <xdr:row>23</xdr:row>
      <xdr:rowOff>271780</xdr:rowOff>
    </xdr:from>
    <xdr:to>
      <xdr:col>8</xdr:col>
      <xdr:colOff>514985</xdr:colOff>
      <xdr:row>28</xdr:row>
      <xdr:rowOff>107315</xdr:rowOff>
    </xdr:to>
    <xdr:sp>
      <xdr:nvSpPr>
        <xdr:cNvPr id="3" name="Snip Single Corner Rectangle 20"/>
        <xdr:cNvSpPr/>
      </xdr:nvSpPr>
      <xdr:spPr>
        <a:xfrm>
          <a:off x="10954385" y="8653780"/>
          <a:ext cx="3907790" cy="152463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200" b="0">
              <a:solidFill>
                <a:schemeClr val="tx1"/>
              </a:solidFill>
              <a:latin typeface="Century Gothic" panose="020B0502020202020204" pitchFamily="34" charset="0"/>
            </a:rPr>
            <a:t>As customer, I want to be able to cancel my order in case I change my mind with it.</a:t>
          </a:r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2588260</xdr:colOff>
      <xdr:row>25</xdr:row>
      <xdr:rowOff>99060</xdr:rowOff>
    </xdr:from>
    <xdr:to>
      <xdr:col>5</xdr:col>
      <xdr:colOff>831850</xdr:colOff>
      <xdr:row>28</xdr:row>
      <xdr:rowOff>120015</xdr:rowOff>
    </xdr:to>
    <xdr:sp>
      <xdr:nvSpPr>
        <xdr:cNvPr id="4" name="Freeform 2"/>
        <xdr:cNvSpPr/>
      </xdr:nvSpPr>
      <xdr:spPr>
        <a:xfrm>
          <a:off x="9084310" y="9331960"/>
          <a:ext cx="981710" cy="85915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1100" b="1">
              <a:latin typeface="Century Gothic" panose="020B0502020202020204" pitchFamily="34" charset="0"/>
            </a:rPr>
            <a:t>DEV 1</a:t>
          </a:r>
          <a:endParaRPr lang="tr-TR" altLang="en-US" sz="11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1135380</xdr:colOff>
      <xdr:row>23</xdr:row>
      <xdr:rowOff>222885</xdr:rowOff>
    </xdr:from>
    <xdr:to>
      <xdr:col>9</xdr:col>
      <xdr:colOff>440690</xdr:colOff>
      <xdr:row>28</xdr:row>
      <xdr:rowOff>263525</xdr:rowOff>
    </xdr:to>
    <xdr:sp>
      <xdr:nvSpPr>
        <xdr:cNvPr id="7" name="Snip Single Corner Rectangle 20"/>
        <xdr:cNvSpPr/>
      </xdr:nvSpPr>
      <xdr:spPr>
        <a:xfrm>
          <a:off x="15482570" y="8604885"/>
          <a:ext cx="3440430" cy="1729740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tr-TR" sz="1200" b="0">
              <a:solidFill>
                <a:schemeClr val="tx1"/>
              </a:solidFill>
              <a:latin typeface="Century Gothic" panose="020B0502020202020204" pitchFamily="34" charset="0"/>
            </a:rPr>
            <a:t>As a customer, I want to be able to reserve a purchase online and a QR code verification along with it so that it can be confirmed the order is mine.</a:t>
          </a:r>
          <a:endParaRPr lang="tr-TR" sz="1200" b="0">
            <a:solidFill>
              <a:schemeClr val="tx1"/>
            </a:solidFill>
            <a:latin typeface="Century Gothic" panose="020B0502020202020204" pitchFamily="34" charset="0"/>
          </a:endParaRPr>
        </a:p>
        <a:p>
          <a:pPr marL="0" indent="0" algn="l" defTabSz="914400" rtl="0" eaLnBrk="1" latinLnBrk="0" hangingPunct="1"/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12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12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3415030</xdr:colOff>
      <xdr:row>25</xdr:row>
      <xdr:rowOff>189865</xdr:rowOff>
    </xdr:from>
    <xdr:to>
      <xdr:col>9</xdr:col>
      <xdr:colOff>220345</xdr:colOff>
      <xdr:row>28</xdr:row>
      <xdr:rowOff>257175</xdr:rowOff>
    </xdr:to>
    <xdr:sp>
      <xdr:nvSpPr>
        <xdr:cNvPr id="9" name="Freeform 8"/>
        <xdr:cNvSpPr/>
      </xdr:nvSpPr>
      <xdr:spPr>
        <a:xfrm>
          <a:off x="17762220" y="9422765"/>
          <a:ext cx="940435" cy="90551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1100" b="1">
              <a:latin typeface="Century Gothic" panose="020B0502020202020204" pitchFamily="34" charset="0"/>
            </a:rPr>
            <a:t>DEV 5</a:t>
          </a:r>
          <a:endParaRPr lang="tr-TR" altLang="en-US" sz="11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161290</xdr:colOff>
      <xdr:row>24</xdr:row>
      <xdr:rowOff>257810</xdr:rowOff>
    </xdr:from>
    <xdr:to>
      <xdr:col>8</xdr:col>
      <xdr:colOff>52070</xdr:colOff>
      <xdr:row>28</xdr:row>
      <xdr:rowOff>69215</xdr:rowOff>
    </xdr:to>
    <xdr:sp>
      <xdr:nvSpPr>
        <xdr:cNvPr id="10" name="Freeform 2"/>
        <xdr:cNvSpPr/>
      </xdr:nvSpPr>
      <xdr:spPr>
        <a:xfrm>
          <a:off x="13446760" y="9211310"/>
          <a:ext cx="952500" cy="92900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1100" b="1">
              <a:latin typeface="Century Gothic" panose="020B0502020202020204" pitchFamily="34" charset="0"/>
            </a:rPr>
            <a:t>DEV 1</a:t>
          </a:r>
          <a:endParaRPr lang="tr-TR" altLang="en-US" sz="11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937260</xdr:colOff>
      <xdr:row>23</xdr:row>
      <xdr:rowOff>351790</xdr:rowOff>
    </xdr:from>
    <xdr:to>
      <xdr:col>11</xdr:col>
      <xdr:colOff>1759585</xdr:colOff>
      <xdr:row>29</xdr:row>
      <xdr:rowOff>127635</xdr:rowOff>
    </xdr:to>
    <xdr:sp>
      <xdr:nvSpPr>
        <xdr:cNvPr id="8" name="Snip Single Corner Rectangle 20"/>
        <xdr:cNvSpPr/>
      </xdr:nvSpPr>
      <xdr:spPr>
        <a:xfrm>
          <a:off x="19419570" y="8733790"/>
          <a:ext cx="3909695" cy="1744345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altLang="en-US" sz="1200">
              <a:solidFill>
                <a:schemeClr val="tx1"/>
              </a:solidFill>
              <a:effectLst/>
              <a:latin typeface="Century Gothic" panose="020B0502020202020204" pitchFamily="34" charset="0"/>
            </a:rPr>
            <a:t>As a user , I want access to a map system that allows me to find the surplus food by searching the areas in proximity so I can see where I can get discounted stuff close to me</a:t>
          </a:r>
          <a:endParaRPr lang="tr-TR" altLang="en-US" sz="12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endParaRPr lang="tr-TR" altLang="en-US" sz="12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11</xdr:col>
      <xdr:colOff>415290</xdr:colOff>
      <xdr:row>25</xdr:row>
      <xdr:rowOff>217170</xdr:rowOff>
    </xdr:from>
    <xdr:to>
      <xdr:col>11</xdr:col>
      <xdr:colOff>1325245</xdr:colOff>
      <xdr:row>29</xdr:row>
      <xdr:rowOff>41910</xdr:rowOff>
    </xdr:to>
    <xdr:sp>
      <xdr:nvSpPr>
        <xdr:cNvPr id="5" name="Freeform 7"/>
        <xdr:cNvSpPr/>
      </xdr:nvSpPr>
      <xdr:spPr>
        <a:xfrm>
          <a:off x="21984970" y="9450070"/>
          <a:ext cx="909955" cy="94234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1100" b="1">
              <a:latin typeface="Century Gothic" panose="020B0502020202020204" pitchFamily="34" charset="0"/>
            </a:rPr>
            <a:t>DEV 2</a:t>
          </a:r>
          <a:endParaRPr lang="tr-TR" sz="11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606425</xdr:colOff>
      <xdr:row>23</xdr:row>
      <xdr:rowOff>31115</xdr:rowOff>
    </xdr:from>
    <xdr:to>
      <xdr:col>5</xdr:col>
      <xdr:colOff>1076325</xdr:colOff>
      <xdr:row>28</xdr:row>
      <xdr:rowOff>76200</xdr:rowOff>
    </xdr:to>
    <xdr:sp>
      <xdr:nvSpPr>
        <xdr:cNvPr id="2" name="Snip Single Corner Rectangle 20"/>
        <xdr:cNvSpPr/>
      </xdr:nvSpPr>
      <xdr:spPr>
        <a:xfrm>
          <a:off x="7102475" y="10546715"/>
          <a:ext cx="3208020" cy="173418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from the municipality , in case a product is not collected on time and is on it’s way to a central branch / redistribution center , I want to be notified and I also need a management panel to see to where an order goes</a:t>
          </a:r>
          <a:endParaRPr lang="tr-TR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1680845</xdr:colOff>
      <xdr:row>23</xdr:row>
      <xdr:rowOff>428625</xdr:rowOff>
    </xdr:from>
    <xdr:to>
      <xdr:col>8</xdr:col>
      <xdr:colOff>118110</xdr:colOff>
      <xdr:row>29</xdr:row>
      <xdr:rowOff>57785</xdr:rowOff>
    </xdr:to>
    <xdr:sp>
      <xdr:nvSpPr>
        <xdr:cNvPr id="3" name="Snip Single Corner Rectangle 20"/>
        <xdr:cNvSpPr/>
      </xdr:nvSpPr>
      <xdr:spPr>
        <a:xfrm>
          <a:off x="10915015" y="10944225"/>
          <a:ext cx="3550285" cy="159766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, I want to have a secure payment gateway like Stripe or Iyzico so I can donate to shelters voluntarily while being sure my donation isnt redirected.</a:t>
          </a:r>
          <a:endParaRPr lang="tr-TR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tr-TR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  <a:endParaRPr 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60960</xdr:colOff>
      <xdr:row>26</xdr:row>
      <xdr:rowOff>123825</xdr:rowOff>
    </xdr:from>
    <xdr:to>
      <xdr:col>5</xdr:col>
      <xdr:colOff>868045</xdr:colOff>
      <xdr:row>29</xdr:row>
      <xdr:rowOff>62230</xdr:rowOff>
    </xdr:to>
    <xdr:sp>
      <xdr:nvSpPr>
        <xdr:cNvPr id="4" name="Freeform 2"/>
        <xdr:cNvSpPr/>
      </xdr:nvSpPr>
      <xdr:spPr>
        <a:xfrm>
          <a:off x="9295130" y="11769725"/>
          <a:ext cx="807085" cy="77660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900" b="1">
              <a:latin typeface="Century Gothic" panose="020B0502020202020204" pitchFamily="34" charset="0"/>
            </a:rPr>
            <a:t>DEV 4</a:t>
          </a:r>
          <a:endParaRPr lang="tr-TR" alt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1184275</xdr:colOff>
      <xdr:row>26</xdr:row>
      <xdr:rowOff>100965</xdr:rowOff>
    </xdr:from>
    <xdr:to>
      <xdr:col>7</xdr:col>
      <xdr:colOff>913765</xdr:colOff>
      <xdr:row>29</xdr:row>
      <xdr:rowOff>219710</xdr:rowOff>
    </xdr:to>
    <xdr:sp>
      <xdr:nvSpPr>
        <xdr:cNvPr id="9" name="Freeform 8"/>
        <xdr:cNvSpPr/>
      </xdr:nvSpPr>
      <xdr:spPr>
        <a:xfrm>
          <a:off x="13156565" y="11746865"/>
          <a:ext cx="1042670" cy="95694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900" b="1">
              <a:latin typeface="Century Gothic" panose="020B0502020202020204" pitchFamily="34" charset="0"/>
            </a:rPr>
            <a:t>DEV 3</a:t>
          </a:r>
          <a:endParaRPr lang="tr-TR" alt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779145</xdr:colOff>
      <xdr:row>23</xdr:row>
      <xdr:rowOff>469900</xdr:rowOff>
    </xdr:from>
    <xdr:to>
      <xdr:col>9</xdr:col>
      <xdr:colOff>194310</xdr:colOff>
      <xdr:row>29</xdr:row>
      <xdr:rowOff>99060</xdr:rowOff>
    </xdr:to>
    <xdr:sp>
      <xdr:nvSpPr>
        <xdr:cNvPr id="5" name="Snip Single Corner Rectangle 20"/>
        <xdr:cNvSpPr/>
      </xdr:nvSpPr>
      <xdr:spPr>
        <a:xfrm>
          <a:off x="15126335" y="10985500"/>
          <a:ext cx="3550285" cy="159766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, I want a feature that notifies me whenever a product I need is available in a nearby branch I can know about it as soon as possible</a:t>
          </a:r>
          <a:endParaRPr lang="tr-TR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1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  <a:endParaRPr 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altLang="en-US" sz="11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3110230</xdr:colOff>
      <xdr:row>26</xdr:row>
      <xdr:rowOff>163195</xdr:rowOff>
    </xdr:from>
    <xdr:to>
      <xdr:col>8</xdr:col>
      <xdr:colOff>3928745</xdr:colOff>
      <xdr:row>29</xdr:row>
      <xdr:rowOff>159385</xdr:rowOff>
    </xdr:to>
    <xdr:sp>
      <xdr:nvSpPr>
        <xdr:cNvPr id="6" name="Freeform 8"/>
        <xdr:cNvSpPr/>
      </xdr:nvSpPr>
      <xdr:spPr>
        <a:xfrm>
          <a:off x="17457420" y="11809095"/>
          <a:ext cx="818515" cy="83439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900" b="1">
              <a:latin typeface="Century Gothic" panose="020B0502020202020204" pitchFamily="34" charset="0"/>
            </a:rPr>
            <a:t>DEV 4</a:t>
          </a:r>
          <a:endParaRPr lang="tr-TR" alt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464820</xdr:colOff>
      <xdr:row>23</xdr:row>
      <xdr:rowOff>136525</xdr:rowOff>
    </xdr:from>
    <xdr:to>
      <xdr:col>5</xdr:col>
      <xdr:colOff>404495</xdr:colOff>
      <xdr:row>27</xdr:row>
      <xdr:rowOff>207645</xdr:rowOff>
    </xdr:to>
    <xdr:sp>
      <xdr:nvSpPr>
        <xdr:cNvPr id="2" name="Snip Single Corner Rectangle 20"/>
        <xdr:cNvSpPr/>
      </xdr:nvSpPr>
      <xdr:spPr>
        <a:xfrm>
          <a:off x="6960870" y="9293225"/>
          <a:ext cx="2677795" cy="1480820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0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, I would want the system up all the times , no matter how many users are active at the same time without giving any loading or performance issues</a:t>
          </a:r>
          <a:endParaRPr lang="en-US" sz="10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0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610235</xdr:colOff>
      <xdr:row>24</xdr:row>
      <xdr:rowOff>40640</xdr:rowOff>
    </xdr:from>
    <xdr:to>
      <xdr:col>6</xdr:col>
      <xdr:colOff>450850</xdr:colOff>
      <xdr:row>29</xdr:row>
      <xdr:rowOff>25400</xdr:rowOff>
    </xdr:to>
    <xdr:sp>
      <xdr:nvSpPr>
        <xdr:cNvPr id="3" name="Snip Single Corner Rectangle 20"/>
        <xdr:cNvSpPr/>
      </xdr:nvSpPr>
      <xdr:spPr>
        <a:xfrm>
          <a:off x="9844405" y="9768840"/>
          <a:ext cx="2578735" cy="138176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0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someone working as city staff , I would want to be able to track which food is being wasted the most and what products are more bound to go to trash without being sold.</a:t>
          </a:r>
          <a:endParaRPr lang="tr-TR" sz="10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0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2402205</xdr:colOff>
      <xdr:row>27</xdr:row>
      <xdr:rowOff>208915</xdr:rowOff>
    </xdr:from>
    <xdr:to>
      <xdr:col>6</xdr:col>
      <xdr:colOff>412750</xdr:colOff>
      <xdr:row>30</xdr:row>
      <xdr:rowOff>29845</xdr:rowOff>
    </xdr:to>
    <xdr:sp>
      <xdr:nvSpPr>
        <xdr:cNvPr id="5" name="Freeform 6"/>
        <xdr:cNvSpPr/>
      </xdr:nvSpPr>
      <xdr:spPr>
        <a:xfrm>
          <a:off x="11636375" y="10775315"/>
          <a:ext cx="748665" cy="65913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900" b="1">
              <a:latin typeface="Century Gothic" panose="020B0502020202020204" pitchFamily="34" charset="0"/>
            </a:rPr>
            <a:t>DEV 5</a:t>
          </a:r>
          <a:endParaRPr lang="tr-TR" alt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1963420</xdr:colOff>
      <xdr:row>25</xdr:row>
      <xdr:rowOff>78740</xdr:rowOff>
    </xdr:from>
    <xdr:to>
      <xdr:col>5</xdr:col>
      <xdr:colOff>116840</xdr:colOff>
      <xdr:row>28</xdr:row>
      <xdr:rowOff>120015</xdr:rowOff>
    </xdr:to>
    <xdr:sp>
      <xdr:nvSpPr>
        <xdr:cNvPr id="7" name="Freeform 9"/>
        <xdr:cNvSpPr/>
      </xdr:nvSpPr>
      <xdr:spPr>
        <a:xfrm>
          <a:off x="8459470" y="10086340"/>
          <a:ext cx="891540" cy="87947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 6</a:t>
          </a:r>
          <a:endParaRPr lang="tr-TR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1066165</xdr:colOff>
      <xdr:row>23</xdr:row>
      <xdr:rowOff>304800</xdr:rowOff>
    </xdr:from>
    <xdr:to>
      <xdr:col>8</xdr:col>
      <xdr:colOff>1283335</xdr:colOff>
      <xdr:row>28</xdr:row>
      <xdr:rowOff>60960</xdr:rowOff>
    </xdr:to>
    <xdr:sp>
      <xdr:nvSpPr>
        <xdr:cNvPr id="8" name="Snip Single Corner Rectangle 20"/>
        <xdr:cNvSpPr/>
      </xdr:nvSpPr>
      <xdr:spPr>
        <a:xfrm>
          <a:off x="13038455" y="9461500"/>
          <a:ext cx="2592070" cy="144526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1000" b="0">
              <a:solidFill>
                <a:schemeClr val="tx1"/>
              </a:solidFill>
              <a:latin typeface="Century Gothic" panose="020B0502020202020204" pitchFamily="34" charset="0"/>
            </a:rPr>
            <a:t>AS a business owner , I would want to be notified whenever there is short (24 hrs )time left before my product expires so it can be make it to good hands in time.</a:t>
          </a:r>
          <a:endParaRPr lang="tr-TR" sz="1000" b="0">
            <a:solidFill>
              <a:schemeClr val="tx1"/>
            </a:solidFill>
            <a:latin typeface="Century Gothic" panose="020B0502020202020204" pitchFamily="34" charset="0"/>
          </a:endParaRPr>
        </a:p>
        <a:p>
          <a:pPr marL="0" indent="0" algn="l" defTabSz="914400" rtl="0" eaLnBrk="1" latinLnBrk="0" hangingPunct="1"/>
          <a:endParaRPr lang="en-US" sz="10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10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  <a:endParaRPr lang="en-US" sz="10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10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292100</xdr:colOff>
      <xdr:row>25</xdr:row>
      <xdr:rowOff>255905</xdr:rowOff>
    </xdr:from>
    <xdr:to>
      <xdr:col>8</xdr:col>
      <xdr:colOff>1021080</xdr:colOff>
      <xdr:row>28</xdr:row>
      <xdr:rowOff>151765</xdr:rowOff>
    </xdr:to>
    <xdr:sp>
      <xdr:nvSpPr>
        <xdr:cNvPr id="10" name="Freeform 5"/>
        <xdr:cNvSpPr/>
      </xdr:nvSpPr>
      <xdr:spPr>
        <a:xfrm>
          <a:off x="14639290" y="10263505"/>
          <a:ext cx="728980" cy="73406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altLang="en-US" sz="900" b="1">
              <a:latin typeface="Century Gothic" panose="020B0502020202020204" pitchFamily="34" charset="0"/>
            </a:rPr>
            <a:t>DEV 1</a:t>
          </a:r>
          <a:endParaRPr lang="tr-TR" alt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>
      <xdr:nvSpPr>
        <xdr:cNvPr id="2" name="Freeform 2"/>
        <xdr:cNvSpPr/>
      </xdr:nvSpPr>
      <xdr:spPr>
        <a:xfrm>
          <a:off x="495300" y="892810"/>
          <a:ext cx="406400" cy="42100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>
      <xdr:nvSpPr>
        <xdr:cNvPr id="3" name="Freeform 5"/>
        <xdr:cNvSpPr/>
      </xdr:nvSpPr>
      <xdr:spPr>
        <a:xfrm>
          <a:off x="495300" y="171132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>
      <xdr:nvSpPr>
        <xdr:cNvPr id="4" name="Freeform 6"/>
        <xdr:cNvSpPr/>
      </xdr:nvSpPr>
      <xdr:spPr>
        <a:xfrm>
          <a:off x="495300" y="255333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>
      <xdr:nvSpPr>
        <xdr:cNvPr id="5" name="Freeform 7"/>
        <xdr:cNvSpPr/>
      </xdr:nvSpPr>
      <xdr:spPr>
        <a:xfrm>
          <a:off x="495300" y="3395345"/>
          <a:ext cx="406400" cy="41084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>
      <xdr:nvSpPr>
        <xdr:cNvPr id="6" name="Freeform 8"/>
        <xdr:cNvSpPr/>
      </xdr:nvSpPr>
      <xdr:spPr>
        <a:xfrm>
          <a:off x="495300" y="423672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>
      <xdr:nvSpPr>
        <xdr:cNvPr id="7" name="Freeform 9"/>
        <xdr:cNvSpPr/>
      </xdr:nvSpPr>
      <xdr:spPr>
        <a:xfrm>
          <a:off x="495300" y="507873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>
      <xdr:nvSpPr>
        <xdr:cNvPr id="8" name="Freeform 10"/>
        <xdr:cNvSpPr/>
      </xdr:nvSpPr>
      <xdr:spPr>
        <a:xfrm>
          <a:off x="495300" y="592074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>
      <xdr:nvSpPr>
        <xdr:cNvPr id="9" name="Freeform 11"/>
        <xdr:cNvSpPr/>
      </xdr:nvSpPr>
      <xdr:spPr>
        <a:xfrm>
          <a:off x="495300" y="676211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>
      <xdr:nvSpPr>
        <xdr:cNvPr id="10" name="Freeform 11"/>
        <xdr:cNvSpPr/>
      </xdr:nvSpPr>
      <xdr:spPr>
        <a:xfrm>
          <a:off x="514350" y="757936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>
      <xdr:nvSpPr>
        <xdr:cNvPr id="11" name="Freeform 11"/>
        <xdr:cNvSpPr/>
      </xdr:nvSpPr>
      <xdr:spPr>
        <a:xfrm>
          <a:off x="542290" y="8408670"/>
          <a:ext cx="407035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>
      <xdr:nvSpPr>
        <xdr:cNvPr id="12" name="Freeform 2"/>
        <xdr:cNvSpPr/>
      </xdr:nvSpPr>
      <xdr:spPr>
        <a:xfrm>
          <a:off x="939800" y="1178560"/>
          <a:ext cx="406400" cy="40259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>
      <xdr:nvSpPr>
        <xdr:cNvPr id="13" name="Freeform 5"/>
        <xdr:cNvSpPr/>
      </xdr:nvSpPr>
      <xdr:spPr>
        <a:xfrm>
          <a:off x="952500" y="210185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>
      <xdr:nvSpPr>
        <xdr:cNvPr id="14" name="Freeform 6"/>
        <xdr:cNvSpPr/>
      </xdr:nvSpPr>
      <xdr:spPr>
        <a:xfrm>
          <a:off x="952500" y="294386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>
      <xdr:nvSpPr>
        <xdr:cNvPr id="15" name="Freeform 7"/>
        <xdr:cNvSpPr/>
      </xdr:nvSpPr>
      <xdr:spPr>
        <a:xfrm>
          <a:off x="952500" y="3785870"/>
          <a:ext cx="406400" cy="41084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>
      <xdr:nvSpPr>
        <xdr:cNvPr id="16" name="Freeform 8"/>
        <xdr:cNvSpPr/>
      </xdr:nvSpPr>
      <xdr:spPr>
        <a:xfrm>
          <a:off x="952500" y="462724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>
      <xdr:nvSpPr>
        <xdr:cNvPr id="17" name="Freeform 9"/>
        <xdr:cNvSpPr/>
      </xdr:nvSpPr>
      <xdr:spPr>
        <a:xfrm>
          <a:off x="952500" y="546925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>
      <xdr:nvSpPr>
        <xdr:cNvPr id="18" name="Freeform 10"/>
        <xdr:cNvSpPr/>
      </xdr:nvSpPr>
      <xdr:spPr>
        <a:xfrm>
          <a:off x="952500" y="631126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>
      <xdr:nvSpPr>
        <xdr:cNvPr id="19" name="Freeform 11"/>
        <xdr:cNvSpPr/>
      </xdr:nvSpPr>
      <xdr:spPr>
        <a:xfrm>
          <a:off x="952500" y="7152640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>
      <xdr:nvSpPr>
        <xdr:cNvPr id="20" name="Freeform 11"/>
        <xdr:cNvSpPr/>
      </xdr:nvSpPr>
      <xdr:spPr>
        <a:xfrm>
          <a:off x="971550" y="7969885"/>
          <a:ext cx="406400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>
      <xdr:nvSpPr>
        <xdr:cNvPr id="21" name="Freeform 11"/>
        <xdr:cNvSpPr/>
      </xdr:nvSpPr>
      <xdr:spPr>
        <a:xfrm>
          <a:off x="999490" y="8799195"/>
          <a:ext cx="407035" cy="4114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>
      <xdr:nvSpPr>
        <xdr:cNvPr id="22" name="Snip Single Corner Rectangle 20"/>
        <xdr:cNvSpPr/>
      </xdr:nvSpPr>
      <xdr:spPr>
        <a:xfrm>
          <a:off x="2597785" y="170497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>
      <xdr:nvSpPr>
        <xdr:cNvPr id="23" name="Snip Single Corner Rectangle 20"/>
        <xdr:cNvSpPr/>
      </xdr:nvSpPr>
      <xdr:spPr>
        <a:xfrm>
          <a:off x="3874135" y="294957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>
      <xdr:nvSpPr>
        <xdr:cNvPr id="24" name="Snip Single Corner Rectangle 20"/>
        <xdr:cNvSpPr/>
      </xdr:nvSpPr>
      <xdr:spPr>
        <a:xfrm>
          <a:off x="3928110" y="5099050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>
      <xdr:nvSpPr>
        <xdr:cNvPr id="25" name="Snip Single Corner Rectangle 20"/>
        <xdr:cNvSpPr/>
      </xdr:nvSpPr>
      <xdr:spPr>
        <a:xfrm>
          <a:off x="2693035" y="638492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>
      <xdr:nvSpPr>
        <xdr:cNvPr id="26" name="Snip Single Corner Rectangle 20"/>
        <xdr:cNvSpPr/>
      </xdr:nvSpPr>
      <xdr:spPr>
        <a:xfrm>
          <a:off x="3959860" y="759142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>
      <xdr:nvSpPr>
        <xdr:cNvPr id="27" name="Snip Single Corner Rectangle 20"/>
        <xdr:cNvSpPr/>
      </xdr:nvSpPr>
      <xdr:spPr>
        <a:xfrm>
          <a:off x="2616835" y="4006850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2614930</xdr:colOff>
      <xdr:row>7</xdr:row>
      <xdr:rowOff>2727960</xdr:rowOff>
    </xdr:from>
    <xdr:to>
      <xdr:col>3</xdr:col>
      <xdr:colOff>4615180</xdr:colOff>
      <xdr:row>8</xdr:row>
      <xdr:rowOff>534035</xdr:rowOff>
    </xdr:to>
    <xdr:sp>
      <xdr:nvSpPr>
        <xdr:cNvPr id="28" name="Snip Single Corner Rectangle 20"/>
        <xdr:cNvSpPr/>
      </xdr:nvSpPr>
      <xdr:spPr>
        <a:xfrm>
          <a:off x="5031740" y="4309110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alt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zoomScale="76" zoomScaleNormal="76" topLeftCell="A21" workbookViewId="0">
      <selection activeCell="A1" sqref="A1:B1"/>
    </sheetView>
  </sheetViews>
  <sheetFormatPr defaultColWidth="11" defaultRowHeight="15" outlineLevelCol="1"/>
  <cols>
    <col min="2" max="2" width="83.5" customWidth="1"/>
  </cols>
  <sheetData>
    <row r="1" ht="92" customHeight="1" spans="1:2">
      <c r="A1" s="93" t="s">
        <v>0</v>
      </c>
      <c r="B1" s="94"/>
    </row>
    <row r="2" ht="45" customHeight="1" spans="1:2">
      <c r="A2" s="95" t="s">
        <v>1</v>
      </c>
      <c r="B2" s="95" t="s">
        <v>2</v>
      </c>
    </row>
    <row r="3" ht="45" customHeight="1" spans="1:2">
      <c r="A3" s="95">
        <v>1</v>
      </c>
      <c r="B3" s="96" t="s">
        <v>3</v>
      </c>
    </row>
    <row r="4" ht="45" customHeight="1" spans="1:2">
      <c r="A4" s="95">
        <v>2</v>
      </c>
      <c r="B4" s="97" t="s">
        <v>4</v>
      </c>
    </row>
    <row r="5" ht="45" customHeight="1" spans="1:2">
      <c r="A5" s="95">
        <v>3</v>
      </c>
      <c r="B5" s="97" t="s">
        <v>5</v>
      </c>
    </row>
    <row r="6" ht="45" customHeight="1" spans="1:2">
      <c r="A6" s="95">
        <v>4</v>
      </c>
      <c r="B6" s="97" t="s">
        <v>6</v>
      </c>
    </row>
    <row r="7" ht="45" customHeight="1" spans="1:2">
      <c r="A7" s="95">
        <v>5</v>
      </c>
      <c r="B7" s="97" t="s">
        <v>7</v>
      </c>
    </row>
    <row r="8" ht="45" customHeight="1" spans="1:2">
      <c r="A8" s="95">
        <v>6</v>
      </c>
      <c r="B8" s="97" t="s">
        <v>8</v>
      </c>
    </row>
    <row r="9" ht="45" customHeight="1" spans="1:2">
      <c r="A9" s="95">
        <v>7</v>
      </c>
      <c r="B9" s="97" t="s">
        <v>9</v>
      </c>
    </row>
    <row r="10" ht="45" customHeight="1" spans="1:2">
      <c r="A10" s="95">
        <v>8</v>
      </c>
      <c r="B10" s="97" t="s">
        <v>10</v>
      </c>
    </row>
    <row r="11" ht="45" customHeight="1" spans="1:2">
      <c r="A11" s="95">
        <v>9</v>
      </c>
      <c r="B11" s="97" t="s">
        <v>11</v>
      </c>
    </row>
    <row r="12" ht="45" customHeight="1" spans="1:2">
      <c r="A12" s="95">
        <v>10</v>
      </c>
      <c r="B12" s="97" t="s">
        <v>12</v>
      </c>
    </row>
    <row r="13" ht="45" customHeight="1" spans="1:2">
      <c r="A13" s="95">
        <v>11</v>
      </c>
      <c r="B13" s="97" t="s">
        <v>13</v>
      </c>
    </row>
    <row r="14" ht="45" customHeight="1" spans="1:2">
      <c r="A14" s="95">
        <v>12</v>
      </c>
      <c r="B14" s="98" t="s">
        <v>14</v>
      </c>
    </row>
    <row r="15" ht="45" customHeight="1" spans="1:2">
      <c r="A15" s="95">
        <v>13</v>
      </c>
      <c r="B15" s="98" t="s">
        <v>15</v>
      </c>
    </row>
    <row r="16" ht="45" customHeight="1" spans="1:2">
      <c r="A16" s="95">
        <v>14</v>
      </c>
      <c r="B16" s="98" t="s">
        <v>16</v>
      </c>
    </row>
    <row r="17" ht="45" customHeight="1" spans="1:2">
      <c r="A17" s="95">
        <v>15</v>
      </c>
      <c r="B17" s="98" t="s">
        <v>17</v>
      </c>
    </row>
    <row r="18" ht="45" customHeight="1" spans="1:2">
      <c r="A18" s="95">
        <v>16</v>
      </c>
      <c r="B18" s="98" t="s">
        <v>18</v>
      </c>
    </row>
    <row r="19" ht="45" customHeight="1" spans="1:2">
      <c r="A19" s="95">
        <v>17</v>
      </c>
      <c r="B19" s="98" t="s">
        <v>19</v>
      </c>
    </row>
    <row r="20" ht="45" customHeight="1" spans="1:2">
      <c r="A20" s="95">
        <v>18</v>
      </c>
      <c r="B20" s="98" t="s">
        <v>20</v>
      </c>
    </row>
    <row r="21" ht="45" customHeight="1" spans="1:2">
      <c r="A21" s="95">
        <v>19</v>
      </c>
      <c r="B21" s="98" t="s">
        <v>21</v>
      </c>
    </row>
    <row r="22" ht="45" customHeight="1" spans="1:2">
      <c r="A22" s="95">
        <v>20</v>
      </c>
      <c r="B22" s="98" t="s">
        <v>22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3"/>
  <sheetViews>
    <sheetView zoomScale="71" zoomScaleNormal="71" topLeftCell="D1" workbookViewId="0">
      <selection activeCell="B4" sqref="B4"/>
    </sheetView>
  </sheetViews>
  <sheetFormatPr defaultColWidth="8.83333333333333" defaultRowHeight="15"/>
  <cols>
    <col min="1" max="1" width="3.33333333333333" customWidth="1"/>
    <col min="2" max="2" width="22.8333333333333" customWidth="1"/>
    <col min="3" max="3" width="35.6666666666667" customWidth="1"/>
    <col min="4" max="4" width="22.8333333333333" customWidth="1"/>
    <col min="5" max="6" width="32.6666666666667" customWidth="1"/>
    <col min="7" max="7" width="15.6666666666667" customWidth="1"/>
    <col min="8" max="8" width="12.6666666666667" customWidth="1"/>
    <col min="9" max="9" width="36.5" customWidth="1"/>
    <col min="10" max="10" width="12.6666666666667" customWidth="1"/>
    <col min="11" max="11" width="24.1666666666667" customWidth="1"/>
    <col min="12" max="12" width="25.6666666666667" customWidth="1"/>
    <col min="13" max="13" width="28.5" customWidth="1"/>
    <col min="14" max="14" width="42.6666666666667" customWidth="1"/>
    <col min="15" max="15" width="3.33333333333333" customWidth="1"/>
  </cols>
  <sheetData>
    <row r="1" ht="27.6" spans="2:15">
      <c r="B1" s="44" t="s">
        <v>23</v>
      </c>
      <c r="C1" s="44"/>
      <c r="D1" s="44"/>
      <c r="E1" s="44"/>
      <c r="F1" s="44"/>
      <c r="G1" s="44"/>
      <c r="H1" s="44"/>
      <c r="I1" s="44"/>
      <c r="J1" s="75"/>
      <c r="K1" s="75"/>
      <c r="L1" s="75"/>
      <c r="M1" s="75"/>
      <c r="N1" s="75"/>
      <c r="O1" s="75"/>
    </row>
    <row r="2" ht="27.6" spans="2:13">
      <c r="B2" s="45" t="s">
        <v>24</v>
      </c>
      <c r="C2" s="46" t="s">
        <v>25</v>
      </c>
      <c r="D2" s="46" t="s">
        <v>26</v>
      </c>
      <c r="E2" s="46" t="s">
        <v>27</v>
      </c>
      <c r="F2" s="47" t="s">
        <v>28</v>
      </c>
      <c r="G2" s="47" t="s">
        <v>29</v>
      </c>
      <c r="H2" s="47" t="s">
        <v>30</v>
      </c>
      <c r="I2" s="46" t="s">
        <v>31</v>
      </c>
      <c r="M2" s="76"/>
    </row>
    <row r="3" ht="50" customHeight="1" spans="2:13">
      <c r="B3" s="88" t="s">
        <v>32</v>
      </c>
      <c r="C3" s="89" t="s">
        <v>33</v>
      </c>
      <c r="D3" s="29" t="s">
        <v>34</v>
      </c>
      <c r="E3" s="29" t="s">
        <v>35</v>
      </c>
      <c r="F3" s="49">
        <v>46692</v>
      </c>
      <c r="G3" s="49">
        <v>46695</v>
      </c>
      <c r="H3" s="90">
        <v>4</v>
      </c>
      <c r="I3" s="91" t="s">
        <v>36</v>
      </c>
      <c r="M3" s="77"/>
    </row>
    <row r="4" ht="44" customHeight="1" spans="2:13">
      <c r="B4" s="48" t="s">
        <v>37</v>
      </c>
      <c r="C4" s="89" t="s">
        <v>38</v>
      </c>
      <c r="D4" s="31" t="s">
        <v>39</v>
      </c>
      <c r="E4" s="29" t="s">
        <v>35</v>
      </c>
      <c r="F4" s="49">
        <v>46696</v>
      </c>
      <c r="G4" s="49">
        <v>46701</v>
      </c>
      <c r="H4" s="50">
        <v>6</v>
      </c>
      <c r="I4" s="91" t="s">
        <v>40</v>
      </c>
      <c r="M4" s="77"/>
    </row>
    <row r="5" ht="58" customHeight="1" spans="2:13">
      <c r="B5" s="48" t="s">
        <v>37</v>
      </c>
      <c r="C5" s="89" t="s">
        <v>41</v>
      </c>
      <c r="D5" s="31" t="s">
        <v>39</v>
      </c>
      <c r="E5" s="29" t="s">
        <v>35</v>
      </c>
      <c r="F5" s="55">
        <v>46692</v>
      </c>
      <c r="G5" s="55">
        <v>46694</v>
      </c>
      <c r="H5" s="56">
        <v>3</v>
      </c>
      <c r="I5" s="92" t="s">
        <v>42</v>
      </c>
      <c r="M5" s="77"/>
    </row>
    <row r="6" ht="22" customHeight="1" spans="2:13">
      <c r="B6" s="54"/>
      <c r="C6" s="54"/>
      <c r="D6" s="57"/>
      <c r="E6" s="58"/>
      <c r="F6" s="55"/>
      <c r="G6" s="55"/>
      <c r="H6" s="56"/>
      <c r="I6" s="77"/>
      <c r="M6" s="77"/>
    </row>
    <row r="7" ht="22" customHeight="1" spans="2:13">
      <c r="B7" s="54"/>
      <c r="C7" s="54"/>
      <c r="D7" s="57"/>
      <c r="E7" s="58"/>
      <c r="F7" s="55"/>
      <c r="G7" s="55"/>
      <c r="H7" s="56"/>
      <c r="I7" s="77"/>
      <c r="M7" s="77"/>
    </row>
    <row r="8" ht="22" customHeight="1" spans="2:13">
      <c r="B8" s="54"/>
      <c r="C8" s="54"/>
      <c r="D8" s="57"/>
      <c r="E8" s="58"/>
      <c r="F8" s="55"/>
      <c r="G8" s="55"/>
      <c r="H8" s="56"/>
      <c r="I8" s="77"/>
      <c r="M8" s="77"/>
    </row>
    <row r="9" ht="22" customHeight="1" spans="2:13">
      <c r="B9" s="54"/>
      <c r="C9" s="54"/>
      <c r="D9" s="57"/>
      <c r="E9" s="58"/>
      <c r="F9" s="55"/>
      <c r="G9" s="55"/>
      <c r="H9" s="56"/>
      <c r="I9" s="77"/>
      <c r="M9" s="77"/>
    </row>
    <row r="10" ht="22" customHeight="1" spans="2:13">
      <c r="B10" s="54"/>
      <c r="C10" s="54"/>
      <c r="D10" s="57"/>
      <c r="E10" s="58"/>
      <c r="F10" s="55"/>
      <c r="G10" s="55"/>
      <c r="H10" s="56"/>
      <c r="I10" s="77"/>
      <c r="M10" s="77"/>
    </row>
    <row r="11" ht="22" customHeight="1" spans="2:13">
      <c r="B11" s="54"/>
      <c r="C11" s="54"/>
      <c r="D11" s="57"/>
      <c r="E11" s="58"/>
      <c r="F11" s="55"/>
      <c r="G11" s="55"/>
      <c r="H11" s="56"/>
      <c r="I11" s="77"/>
      <c r="M11" s="77"/>
    </row>
    <row r="12" ht="22" customHeight="1" spans="2:13">
      <c r="B12" s="54"/>
      <c r="C12" s="54"/>
      <c r="D12" s="57"/>
      <c r="E12" s="58"/>
      <c r="F12" s="55"/>
      <c r="G12" s="55"/>
      <c r="H12" s="56"/>
      <c r="I12" s="77"/>
      <c r="M12" s="77"/>
    </row>
    <row r="13" ht="22" customHeight="1" spans="2:13">
      <c r="B13" s="54"/>
      <c r="C13" s="54"/>
      <c r="D13" s="57"/>
      <c r="E13" s="58"/>
      <c r="F13" s="55"/>
      <c r="G13" s="55"/>
      <c r="H13" s="56"/>
      <c r="I13" s="77"/>
      <c r="M13" s="77"/>
    </row>
    <row r="14" ht="22" customHeight="1" spans="2:13">
      <c r="B14" s="54"/>
      <c r="C14" s="54"/>
      <c r="D14" s="57"/>
      <c r="E14" s="58"/>
      <c r="F14" s="59"/>
      <c r="G14" s="59"/>
      <c r="H14" s="56"/>
      <c r="I14" s="77"/>
      <c r="M14" s="77"/>
    </row>
    <row r="15" ht="22" customHeight="1" spans="2:13">
      <c r="B15" s="54"/>
      <c r="C15" s="54"/>
      <c r="D15" s="57"/>
      <c r="E15" s="58"/>
      <c r="F15" s="59"/>
      <c r="G15" s="59"/>
      <c r="H15" s="56"/>
      <c r="I15" s="77"/>
      <c r="M15" s="77"/>
    </row>
    <row r="16" ht="22" customHeight="1" spans="2:13">
      <c r="B16" s="54"/>
      <c r="C16" s="54"/>
      <c r="D16" s="57"/>
      <c r="E16" s="58"/>
      <c r="F16" s="59"/>
      <c r="G16" s="59"/>
      <c r="H16" s="56"/>
      <c r="I16" s="77"/>
      <c r="M16" s="77"/>
    </row>
    <row r="17" ht="22" customHeight="1" spans="2:13">
      <c r="B17" s="54"/>
      <c r="C17" s="54"/>
      <c r="D17" s="57"/>
      <c r="E17" s="58"/>
      <c r="F17" s="59"/>
      <c r="G17" s="59"/>
      <c r="H17" s="56"/>
      <c r="I17" s="77"/>
      <c r="M17" s="77"/>
    </row>
    <row r="18" ht="22" customHeight="1" spans="2:13">
      <c r="B18" s="54"/>
      <c r="C18" s="54"/>
      <c r="D18" s="57"/>
      <c r="E18" s="58"/>
      <c r="F18" s="59"/>
      <c r="G18" s="59"/>
      <c r="H18" s="56"/>
      <c r="I18" s="77"/>
      <c r="M18" s="77"/>
    </row>
    <row r="19" ht="22" customHeight="1" spans="2:13">
      <c r="B19" s="54"/>
      <c r="C19" s="54"/>
      <c r="D19" s="57"/>
      <c r="E19" s="58"/>
      <c r="F19" s="59"/>
      <c r="G19" s="59"/>
      <c r="H19" s="56"/>
      <c r="I19" s="77"/>
      <c r="M19" s="77"/>
    </row>
    <row r="20" ht="22" customHeight="1" spans="2:13">
      <c r="B20" s="54"/>
      <c r="C20" s="54"/>
      <c r="D20" s="57"/>
      <c r="E20" s="58"/>
      <c r="F20" s="59"/>
      <c r="G20" s="59"/>
      <c r="H20" s="56"/>
      <c r="I20" s="77"/>
      <c r="M20" s="77"/>
    </row>
    <row r="21" ht="16.8" spans="2:9">
      <c r="B21" s="60"/>
      <c r="C21" s="60"/>
      <c r="D21" s="60"/>
      <c r="E21" s="60"/>
      <c r="F21" s="61"/>
      <c r="G21" s="61"/>
      <c r="H21" s="62">
        <f>MAX(G3:G4)-MIN(F3:F4)+1</f>
        <v>10</v>
      </c>
      <c r="I21" s="60"/>
    </row>
    <row r="22" ht="22" customHeight="1"/>
    <row r="23" ht="45" customHeight="1" spans="2:14">
      <c r="B23" s="63" t="s">
        <v>43</v>
      </c>
      <c r="C23" s="64"/>
      <c r="D23" s="65"/>
      <c r="E23" s="66"/>
      <c r="F23" s="66"/>
      <c r="G23" s="66"/>
      <c r="H23" s="66"/>
      <c r="I23" s="66"/>
      <c r="J23" s="66"/>
      <c r="K23" s="66"/>
      <c r="L23" s="66"/>
      <c r="M23" s="66"/>
      <c r="N23" s="80"/>
    </row>
    <row r="24" ht="22" customHeight="1" spans="2:14">
      <c r="B24" s="67"/>
      <c r="C24" s="68"/>
      <c r="D24" s="69"/>
      <c r="E24" s="70"/>
      <c r="F24" s="70"/>
      <c r="G24" s="70"/>
      <c r="H24" s="70"/>
      <c r="I24" s="70"/>
      <c r="J24" s="70"/>
      <c r="K24" s="70"/>
      <c r="L24" s="70"/>
      <c r="M24" s="70"/>
      <c r="N24" s="81"/>
    </row>
    <row r="25" ht="22" customHeight="1" spans="2:14">
      <c r="B25" s="67"/>
      <c r="C25" s="68"/>
      <c r="D25" s="69"/>
      <c r="E25" s="70"/>
      <c r="F25" s="70"/>
      <c r="G25" s="70"/>
      <c r="H25" s="70"/>
      <c r="I25" s="70"/>
      <c r="J25" s="70"/>
      <c r="K25" s="70"/>
      <c r="L25" s="70"/>
      <c r="M25" s="70"/>
      <c r="N25" s="81"/>
    </row>
    <row r="26" ht="22" customHeight="1" spans="2:14">
      <c r="B26" s="67"/>
      <c r="C26" s="68"/>
      <c r="D26" s="69"/>
      <c r="E26" s="70"/>
      <c r="F26" s="70"/>
      <c r="G26" s="70"/>
      <c r="H26" s="70"/>
      <c r="I26" s="70"/>
      <c r="J26" s="70"/>
      <c r="K26" s="70"/>
      <c r="L26" s="70"/>
      <c r="M26" s="70"/>
      <c r="N26" s="81"/>
    </row>
    <row r="27" ht="22" customHeight="1" spans="2:14">
      <c r="B27" s="67"/>
      <c r="C27" s="68"/>
      <c r="D27" s="69"/>
      <c r="E27" s="70"/>
      <c r="F27" s="70"/>
      <c r="G27" s="70"/>
      <c r="H27" s="70"/>
      <c r="I27" s="70"/>
      <c r="J27" s="70"/>
      <c r="K27" s="70"/>
      <c r="L27" s="70"/>
      <c r="M27" s="70"/>
      <c r="N27" s="81"/>
    </row>
    <row r="28" ht="22" customHeight="1" spans="2:14">
      <c r="B28" s="67"/>
      <c r="C28" s="68"/>
      <c r="D28" s="69"/>
      <c r="E28" s="70"/>
      <c r="F28" s="70"/>
      <c r="G28" s="70"/>
      <c r="H28" s="70"/>
      <c r="I28" s="70"/>
      <c r="J28" s="70"/>
      <c r="K28" s="70"/>
      <c r="L28" s="70"/>
      <c r="M28" s="70"/>
      <c r="N28" s="81"/>
    </row>
    <row r="29" ht="22" customHeight="1" spans="2:14">
      <c r="B29" s="67"/>
      <c r="C29" s="68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81"/>
    </row>
    <row r="30" ht="22" customHeight="1" spans="2:14">
      <c r="B30" s="67"/>
      <c r="C30" s="68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81"/>
    </row>
    <row r="31" ht="22" customHeight="1" spans="2:14">
      <c r="B31" s="67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81"/>
    </row>
    <row r="32" ht="22" customHeight="1" spans="2:14">
      <c r="B32" s="71"/>
      <c r="C32" s="72"/>
      <c r="D32" s="73"/>
      <c r="E32" s="74"/>
      <c r="F32" s="74"/>
      <c r="G32" s="74"/>
      <c r="H32" s="74"/>
      <c r="I32" s="74"/>
      <c r="J32" s="74"/>
      <c r="K32" s="74"/>
      <c r="L32" s="74"/>
      <c r="M32" s="74"/>
      <c r="N32" s="82"/>
    </row>
    <row r="33" ht="22" customHeight="1"/>
  </sheetData>
  <mergeCells count="3">
    <mergeCell ref="B1:I1"/>
    <mergeCell ref="B23:D32"/>
    <mergeCell ref="E23:N32"/>
  </mergeCells>
  <conditionalFormatting sqref="D5">
    <cfRule type="containsText" dxfId="0" priority="1" operator="between" text="Testing">
      <formula>NOT(ISERROR(SEARCH("Testing",D5)))</formula>
    </cfRule>
    <cfRule type="containsText" dxfId="1" priority="2" operator="between" text="On Hold">
      <formula>NOT(ISERROR(SEARCH("On Hold",D5)))</formula>
    </cfRule>
    <cfRule type="containsText" dxfId="2" priority="3" operator="between" text="Complete">
      <formula>NOT(ISERROR(SEARCH("Complete",D5)))</formula>
    </cfRule>
    <cfRule type="containsText" dxfId="3" priority="4" operator="between" text="Ready to Start">
      <formula>NOT(ISERROR(SEARCH("Ready to Start",D5)))</formula>
    </cfRule>
    <cfRule type="containsText" dxfId="4" priority="5" operator="between" text="In Progress">
      <formula>NOT(ISERROR(SEARCH("In Progress",D5)))</formula>
    </cfRule>
  </conditionalFormatting>
  <conditionalFormatting sqref="E5">
    <cfRule type="containsText" dxfId="5" priority="6" operator="between" text="Low">
      <formula>NOT(ISERROR(SEARCH("Low",E5)))</formula>
    </cfRule>
    <cfRule type="containsText" dxfId="6" priority="7" operator="between" text="Medium">
      <formula>NOT(ISERROR(SEARCH("Medium",E5)))</formula>
    </cfRule>
    <cfRule type="containsText" dxfId="7" priority="8" operator="between" text="High">
      <formula>NOT(ISERROR(SEARCH("High",E5)))</formula>
    </cfRule>
  </conditionalFormatting>
  <conditionalFormatting sqref="D3:D4">
    <cfRule type="containsText" dxfId="0" priority="9" operator="between" text="Testing">
      <formula>NOT(ISERROR(SEARCH("Testing",D3)))</formula>
    </cfRule>
    <cfRule type="containsText" dxfId="1" priority="10" operator="between" text="On Hold">
      <formula>NOT(ISERROR(SEARCH("On Hold",D3)))</formula>
    </cfRule>
    <cfRule type="containsText" dxfId="2" priority="11" operator="between" text="Complete">
      <formula>NOT(ISERROR(SEARCH("Complete",D3)))</formula>
    </cfRule>
    <cfRule type="containsText" dxfId="3" priority="12" operator="between" text="Ready to Start">
      <formula>NOT(ISERROR(SEARCH("Ready to Start",D3)))</formula>
    </cfRule>
    <cfRule type="containsText" dxfId="4" priority="13" operator="between" text="In Progress">
      <formula>NOT(ISERROR(SEARCH("In Progress",D3)))</formula>
    </cfRule>
  </conditionalFormatting>
  <conditionalFormatting sqref="D6:D20">
    <cfRule type="containsText" dxfId="0" priority="14" operator="between" text="Testing">
      <formula>NOT(ISERROR(SEARCH("Testing",D6)))</formula>
    </cfRule>
    <cfRule type="containsText" dxfId="1" priority="15" operator="between" text="On Hold">
      <formula>NOT(ISERROR(SEARCH("On Hold",D6)))</formula>
    </cfRule>
    <cfRule type="containsText" dxfId="2" priority="16" operator="between" text="Complete">
      <formula>NOT(ISERROR(SEARCH("Complete",D6)))</formula>
    </cfRule>
    <cfRule type="containsText" dxfId="3" priority="17" operator="between" text="Ready to Start">
      <formula>NOT(ISERROR(SEARCH("Ready to Start",D6)))</formula>
    </cfRule>
    <cfRule type="containsText" dxfId="4" priority="18" operator="between" text="In Progress">
      <formula>NOT(ISERROR(SEARCH("In Progress",D6)))</formula>
    </cfRule>
  </conditionalFormatting>
  <conditionalFormatting sqref="E3:E4;E6:E20">
    <cfRule type="containsText" dxfId="5" priority="19" operator="between" text="Low">
      <formula>NOT(ISERROR(SEARCH("Low",E3)))</formula>
    </cfRule>
    <cfRule type="containsText" dxfId="6" priority="20" operator="between" text="Medium">
      <formula>NOT(ISERROR(SEARCH("Medium",E3)))</formula>
    </cfRule>
    <cfRule type="containsText" dxfId="7" priority="21" operator="between" text="High">
      <formula>NOT(ISERROR(SEARCH("High",E3)))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4"/>
  <sheetViews>
    <sheetView zoomScale="75" zoomScaleNormal="75" workbookViewId="0">
      <selection activeCell="E3" sqref="E3"/>
    </sheetView>
  </sheetViews>
  <sheetFormatPr defaultColWidth="8.83333333333333" defaultRowHeight="15"/>
  <cols>
    <col min="1" max="1" width="3.33333333333333" customWidth="1"/>
    <col min="2" max="2" width="15.6666666666667" customWidth="1"/>
    <col min="3" max="3" width="35.6666666666667" customWidth="1"/>
    <col min="4" max="4" width="22.8333333333333" customWidth="1"/>
    <col min="5" max="6" width="32.6666666666667" customWidth="1"/>
    <col min="7" max="7" width="15.6666666666667" customWidth="1"/>
    <col min="8" max="8" width="12.6666666666667" customWidth="1"/>
    <col min="9" max="9" width="49.3333333333333" customWidth="1"/>
    <col min="10" max="10" width="12.6666666666667" customWidth="1"/>
    <col min="11" max="11" width="24.1666666666667" customWidth="1"/>
    <col min="12" max="12" width="25.6666666666667" customWidth="1"/>
    <col min="13" max="13" width="28.5" customWidth="1"/>
    <col min="14" max="14" width="42.6666666666667" customWidth="1"/>
    <col min="15" max="15" width="3.33333333333333" customWidth="1"/>
  </cols>
  <sheetData>
    <row r="1" ht="27.6" spans="2:15">
      <c r="B1" s="44" t="s">
        <v>44</v>
      </c>
      <c r="C1" s="44"/>
      <c r="D1" s="44"/>
      <c r="E1" s="44"/>
      <c r="F1" s="44"/>
      <c r="G1" s="44"/>
      <c r="H1" s="44"/>
      <c r="I1" s="44"/>
      <c r="J1" s="75"/>
      <c r="K1" s="75"/>
      <c r="L1" s="75"/>
      <c r="M1" s="75"/>
      <c r="N1" s="75"/>
      <c r="O1" s="75"/>
    </row>
    <row r="2" ht="27.6" spans="2:13">
      <c r="B2" s="45" t="s">
        <v>24</v>
      </c>
      <c r="C2" s="46" t="s">
        <v>25</v>
      </c>
      <c r="D2" s="46" t="s">
        <v>26</v>
      </c>
      <c r="E2" s="46" t="s">
        <v>27</v>
      </c>
      <c r="F2" s="47" t="s">
        <v>28</v>
      </c>
      <c r="G2" s="47" t="s">
        <v>29</v>
      </c>
      <c r="H2" s="47" t="s">
        <v>30</v>
      </c>
      <c r="I2" s="46" t="s">
        <v>31</v>
      </c>
      <c r="M2" s="76"/>
    </row>
    <row r="3" ht="61" customHeight="1" spans="2:13">
      <c r="B3" s="48" t="s">
        <v>37</v>
      </c>
      <c r="C3" s="48" t="s">
        <v>45</v>
      </c>
      <c r="D3" s="36" t="s">
        <v>46</v>
      </c>
      <c r="E3" s="29" t="s">
        <v>47</v>
      </c>
      <c r="F3" s="49">
        <v>46706</v>
      </c>
      <c r="G3" s="49">
        <v>46709</v>
      </c>
      <c r="H3" s="50">
        <v>4</v>
      </c>
      <c r="I3" s="48" t="s">
        <v>48</v>
      </c>
      <c r="M3" s="77"/>
    </row>
    <row r="4" ht="48" customHeight="1" spans="2:13">
      <c r="B4" s="48" t="s">
        <v>37</v>
      </c>
      <c r="C4" s="48" t="s">
        <v>49</v>
      </c>
      <c r="D4" s="36" t="s">
        <v>46</v>
      </c>
      <c r="E4" s="29" t="s">
        <v>47</v>
      </c>
      <c r="F4" s="49">
        <v>46706</v>
      </c>
      <c r="G4" s="49">
        <v>46710</v>
      </c>
      <c r="H4" s="50">
        <v>5</v>
      </c>
      <c r="I4" s="48" t="s">
        <v>50</v>
      </c>
      <c r="M4" s="77"/>
    </row>
    <row r="5" ht="54" customHeight="1" spans="2:13">
      <c r="B5" s="48" t="s">
        <v>37</v>
      </c>
      <c r="C5" s="48" t="s">
        <v>51</v>
      </c>
      <c r="D5" s="36" t="s">
        <v>46</v>
      </c>
      <c r="E5" s="29" t="s">
        <v>47</v>
      </c>
      <c r="F5" s="49">
        <v>46703</v>
      </c>
      <c r="G5" s="49">
        <v>46709</v>
      </c>
      <c r="H5" s="50">
        <v>5</v>
      </c>
      <c r="I5" s="48" t="s">
        <v>52</v>
      </c>
      <c r="M5" s="77"/>
    </row>
    <row r="6" ht="48" customHeight="1" spans="2:13">
      <c r="B6" s="48" t="s">
        <v>37</v>
      </c>
      <c r="C6" s="48" t="s">
        <v>53</v>
      </c>
      <c r="D6" s="36" t="s">
        <v>46</v>
      </c>
      <c r="E6" s="29" t="s">
        <v>35</v>
      </c>
      <c r="F6" s="52">
        <v>46708</v>
      </c>
      <c r="G6" s="52">
        <v>46709</v>
      </c>
      <c r="H6" s="53">
        <v>2</v>
      </c>
      <c r="I6" s="78" t="s">
        <v>54</v>
      </c>
      <c r="M6" s="77"/>
    </row>
    <row r="7" ht="47" customHeight="1" spans="2:13">
      <c r="B7" s="48" t="s">
        <v>37</v>
      </c>
      <c r="C7" s="48" t="s">
        <v>55</v>
      </c>
      <c r="D7" s="36" t="s">
        <v>46</v>
      </c>
      <c r="E7" s="31" t="s">
        <v>56</v>
      </c>
      <c r="F7" s="55">
        <v>46708</v>
      </c>
      <c r="G7" s="55">
        <v>46709</v>
      </c>
      <c r="H7" s="56">
        <v>2</v>
      </c>
      <c r="I7" s="79" t="s">
        <v>57</v>
      </c>
      <c r="M7" s="77"/>
    </row>
    <row r="8" ht="22" customHeight="1" spans="2:13">
      <c r="B8" s="54"/>
      <c r="C8" s="54"/>
      <c r="D8" s="57"/>
      <c r="E8" s="58"/>
      <c r="F8" s="55"/>
      <c r="G8" s="55"/>
      <c r="H8" s="56"/>
      <c r="I8" s="77"/>
      <c r="M8" s="77"/>
    </row>
    <row r="9" ht="22" customHeight="1" spans="2:13">
      <c r="B9" s="54"/>
      <c r="C9" s="54"/>
      <c r="D9" s="57"/>
      <c r="E9" s="58"/>
      <c r="F9" s="55"/>
      <c r="G9" s="55"/>
      <c r="H9" s="56"/>
      <c r="I9" s="77"/>
      <c r="M9" s="77"/>
    </row>
    <row r="10" ht="22" customHeight="1" spans="2:13">
      <c r="B10" s="54"/>
      <c r="C10" s="54"/>
      <c r="D10" s="57"/>
      <c r="E10" s="58"/>
      <c r="F10" s="55"/>
      <c r="G10" s="55"/>
      <c r="H10" s="56"/>
      <c r="I10" s="77"/>
      <c r="M10" s="77"/>
    </row>
    <row r="11" ht="22" customHeight="1" spans="2:13">
      <c r="B11" s="54"/>
      <c r="C11" s="54"/>
      <c r="D11" s="57"/>
      <c r="E11" s="58"/>
      <c r="F11" s="55"/>
      <c r="G11" s="55"/>
      <c r="H11" s="56"/>
      <c r="I11" s="77"/>
      <c r="M11" s="77"/>
    </row>
    <row r="12" ht="22" customHeight="1" spans="2:13">
      <c r="B12" s="54"/>
      <c r="C12" s="54"/>
      <c r="D12" s="57"/>
      <c r="E12" s="58"/>
      <c r="F12" s="55"/>
      <c r="G12" s="55"/>
      <c r="H12" s="56"/>
      <c r="I12" s="77"/>
      <c r="M12" s="77"/>
    </row>
    <row r="13" ht="22" customHeight="1" spans="2:13">
      <c r="B13" s="54"/>
      <c r="C13" s="54"/>
      <c r="D13" s="57"/>
      <c r="E13" s="58"/>
      <c r="F13" s="55"/>
      <c r="G13" s="55"/>
      <c r="H13" s="56"/>
      <c r="I13" s="77"/>
      <c r="M13" s="77"/>
    </row>
    <row r="14" ht="22" customHeight="1" spans="2:13">
      <c r="B14" s="54"/>
      <c r="C14" s="54"/>
      <c r="D14" s="57"/>
      <c r="E14" s="58"/>
      <c r="F14" s="55"/>
      <c r="G14" s="55"/>
      <c r="H14" s="56"/>
      <c r="I14" s="77"/>
      <c r="M14" s="77"/>
    </row>
    <row r="15" ht="22" customHeight="1" spans="2:13">
      <c r="B15" s="54"/>
      <c r="C15" s="54"/>
      <c r="D15" s="57"/>
      <c r="E15" s="58"/>
      <c r="F15" s="59"/>
      <c r="G15" s="59"/>
      <c r="H15" s="56"/>
      <c r="I15" s="77"/>
      <c r="M15" s="77"/>
    </row>
    <row r="16" ht="22" customHeight="1" spans="2:13">
      <c r="B16" s="54"/>
      <c r="C16" s="54"/>
      <c r="D16" s="57"/>
      <c r="E16" s="58"/>
      <c r="F16" s="59"/>
      <c r="G16" s="59"/>
      <c r="H16" s="56"/>
      <c r="I16" s="77"/>
      <c r="M16" s="77"/>
    </row>
    <row r="17" ht="22" customHeight="1" spans="2:13">
      <c r="B17" s="54"/>
      <c r="C17" s="54"/>
      <c r="D17" s="57"/>
      <c r="E17" s="58"/>
      <c r="F17" s="59"/>
      <c r="G17" s="59"/>
      <c r="H17" s="56"/>
      <c r="I17" s="77"/>
      <c r="M17" s="77"/>
    </row>
    <row r="18" ht="22" customHeight="1" spans="2:13">
      <c r="B18" s="54"/>
      <c r="C18" s="54"/>
      <c r="D18" s="57"/>
      <c r="E18" s="58"/>
      <c r="F18" s="59"/>
      <c r="G18" s="59"/>
      <c r="H18" s="56"/>
      <c r="I18" s="77"/>
      <c r="M18" s="77"/>
    </row>
    <row r="19" ht="22" customHeight="1" spans="2:13">
      <c r="B19" s="54"/>
      <c r="C19" s="54"/>
      <c r="D19" s="57"/>
      <c r="E19" s="58"/>
      <c r="F19" s="59"/>
      <c r="G19" s="59"/>
      <c r="H19" s="56"/>
      <c r="I19" s="77"/>
      <c r="M19" s="77"/>
    </row>
    <row r="20" ht="22" customHeight="1" spans="2:13">
      <c r="B20" s="54"/>
      <c r="C20" s="54"/>
      <c r="D20" s="57"/>
      <c r="E20" s="58"/>
      <c r="F20" s="59"/>
      <c r="G20" s="59"/>
      <c r="H20" s="56"/>
      <c r="I20" s="77"/>
      <c r="M20" s="77"/>
    </row>
    <row r="21" ht="22" customHeight="1" spans="2:13">
      <c r="B21" s="54"/>
      <c r="C21" s="54"/>
      <c r="D21" s="57"/>
      <c r="E21" s="58"/>
      <c r="F21" s="59"/>
      <c r="G21" s="59"/>
      <c r="H21" s="56"/>
      <c r="I21" s="77"/>
      <c r="M21" s="77"/>
    </row>
    <row r="22" ht="16.8" spans="2:9">
      <c r="B22" s="60"/>
      <c r="C22" s="60"/>
      <c r="D22" s="60"/>
      <c r="E22" s="60"/>
      <c r="F22" s="61"/>
      <c r="G22" s="61"/>
      <c r="H22" s="62">
        <f>MAX(G3:G5)-MIN(F3:F5)+1</f>
        <v>8</v>
      </c>
      <c r="I22" s="60"/>
    </row>
    <row r="23" ht="22" customHeight="1"/>
    <row r="24" ht="45" customHeight="1" spans="2:14">
      <c r="B24" s="63" t="s">
        <v>43</v>
      </c>
      <c r="C24" s="64"/>
      <c r="D24" s="65"/>
      <c r="E24" s="66"/>
      <c r="F24" s="66"/>
      <c r="G24" s="66"/>
      <c r="H24" s="66"/>
      <c r="I24" s="66"/>
      <c r="J24" s="66"/>
      <c r="K24" s="66"/>
      <c r="L24" s="66"/>
      <c r="M24" s="66"/>
      <c r="N24" s="80"/>
    </row>
    <row r="25" ht="22" customHeight="1" spans="2:14">
      <c r="B25" s="67"/>
      <c r="C25" s="68"/>
      <c r="D25" s="69"/>
      <c r="E25" s="70"/>
      <c r="F25" s="70"/>
      <c r="G25" s="70"/>
      <c r="H25" s="70"/>
      <c r="I25" s="70"/>
      <c r="J25" s="70"/>
      <c r="K25" s="70"/>
      <c r="L25" s="70"/>
      <c r="M25" s="70"/>
      <c r="N25" s="81"/>
    </row>
    <row r="26" ht="22" customHeight="1" spans="2:14">
      <c r="B26" s="67"/>
      <c r="C26" s="68"/>
      <c r="D26" s="69"/>
      <c r="E26" s="70"/>
      <c r="F26" s="70"/>
      <c r="G26" s="70"/>
      <c r="H26" s="70"/>
      <c r="I26" s="70"/>
      <c r="J26" s="70"/>
      <c r="K26" s="70"/>
      <c r="L26" s="70"/>
      <c r="M26" s="70"/>
      <c r="N26" s="81"/>
    </row>
    <row r="27" ht="22" customHeight="1" spans="2:14">
      <c r="B27" s="67"/>
      <c r="C27" s="68"/>
      <c r="D27" s="69"/>
      <c r="E27" s="70"/>
      <c r="F27" s="70"/>
      <c r="G27" s="70"/>
      <c r="H27" s="70"/>
      <c r="I27" s="70"/>
      <c r="J27" s="70"/>
      <c r="K27" s="70"/>
      <c r="L27" s="70"/>
      <c r="M27" s="70"/>
      <c r="N27" s="81"/>
    </row>
    <row r="28" ht="22" customHeight="1" spans="2:14">
      <c r="B28" s="67"/>
      <c r="C28" s="68"/>
      <c r="D28" s="69"/>
      <c r="E28" s="70"/>
      <c r="F28" s="70"/>
      <c r="G28" s="70"/>
      <c r="H28" s="70"/>
      <c r="I28" s="70"/>
      <c r="J28" s="70"/>
      <c r="K28" s="70"/>
      <c r="L28" s="70"/>
      <c r="M28" s="70"/>
      <c r="N28" s="81"/>
    </row>
    <row r="29" ht="22" customHeight="1" spans="2:14">
      <c r="B29" s="67"/>
      <c r="C29" s="68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81"/>
    </row>
    <row r="30" ht="22" customHeight="1" spans="2:14">
      <c r="B30" s="67"/>
      <c r="C30" s="68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81"/>
    </row>
    <row r="31" ht="22" customHeight="1" spans="2:14">
      <c r="B31" s="67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81"/>
    </row>
    <row r="32" ht="22" customHeight="1" spans="2:14">
      <c r="B32" s="67"/>
      <c r="C32" s="68"/>
      <c r="D32" s="69"/>
      <c r="E32" s="70"/>
      <c r="F32" s="70"/>
      <c r="G32" s="70"/>
      <c r="H32" s="70"/>
      <c r="I32" s="70"/>
      <c r="J32" s="70"/>
      <c r="K32" s="70"/>
      <c r="L32" s="70"/>
      <c r="M32" s="70"/>
      <c r="N32" s="81"/>
    </row>
    <row r="33" ht="22" customHeight="1" spans="2:14">
      <c r="B33" s="71"/>
      <c r="C33" s="72"/>
      <c r="D33" s="73"/>
      <c r="E33" s="74"/>
      <c r="F33" s="74"/>
      <c r="G33" s="74"/>
      <c r="H33" s="74"/>
      <c r="I33" s="74"/>
      <c r="J33" s="74"/>
      <c r="K33" s="74"/>
      <c r="L33" s="74"/>
      <c r="M33" s="74"/>
      <c r="N33" s="82"/>
    </row>
    <row r="34" ht="22" customHeight="1"/>
  </sheetData>
  <mergeCells count="3">
    <mergeCell ref="B1:I1"/>
    <mergeCell ref="B24:D33"/>
    <mergeCell ref="E24:N33"/>
  </mergeCells>
  <conditionalFormatting sqref="E6">
    <cfRule type="containsText" dxfId="7" priority="3" operator="between" text="High">
      <formula>NOT(ISERROR(SEARCH("High",E6)))</formula>
    </cfRule>
    <cfRule type="containsText" dxfId="6" priority="2" operator="between" text="Medium">
      <formula>NOT(ISERROR(SEARCH("Medium",E6)))</formula>
    </cfRule>
    <cfRule type="containsText" dxfId="5" priority="1" operator="between" text="Low">
      <formula>NOT(ISERROR(SEARCH("Low",E6)))</formula>
    </cfRule>
  </conditionalFormatting>
  <conditionalFormatting sqref="E7">
    <cfRule type="containsText" dxfId="7" priority="6" operator="between" text="High">
      <formula>NOT(ISERROR(SEARCH("High",E7)))</formula>
    </cfRule>
    <cfRule type="containsText" dxfId="6" priority="5" operator="between" text="Medium">
      <formula>NOT(ISERROR(SEARCH("Medium",E7)))</formula>
    </cfRule>
    <cfRule type="containsText" dxfId="5" priority="4" operator="between" text="Low">
      <formula>NOT(ISERROR(SEARCH("Low",E7)))</formula>
    </cfRule>
  </conditionalFormatting>
  <conditionalFormatting sqref="D3:D21">
    <cfRule type="containsText" dxfId="0" priority="7" operator="between" text="Testing">
      <formula>NOT(ISERROR(SEARCH("Testing",D3)))</formula>
    </cfRule>
    <cfRule type="containsText" dxfId="1" priority="8" operator="between" text="On Hold">
      <formula>NOT(ISERROR(SEARCH("On Hold",D3)))</formula>
    </cfRule>
    <cfRule type="containsText" dxfId="2" priority="9" operator="between" text="Complete">
      <formula>NOT(ISERROR(SEARCH("Complete",D3)))</formula>
    </cfRule>
    <cfRule type="containsText" dxfId="3" priority="10" operator="between" text="Ready to Start">
      <formula>NOT(ISERROR(SEARCH("Ready to Start",D3)))</formula>
    </cfRule>
    <cfRule type="containsText" dxfId="4" priority="11" operator="between" text="In Progress">
      <formula>NOT(ISERROR(SEARCH("In Progress",D3)))</formula>
    </cfRule>
  </conditionalFormatting>
  <conditionalFormatting sqref="E3:E5;E8:E21">
    <cfRule type="containsText" dxfId="5" priority="32" operator="between" text="Low">
      <formula>NOT(ISERROR(SEARCH("Low",E3)))</formula>
    </cfRule>
    <cfRule type="containsText" dxfId="6" priority="33" operator="between" text="Medium">
      <formula>NOT(ISERROR(SEARCH("Medium",E3)))</formula>
    </cfRule>
    <cfRule type="containsText" dxfId="7" priority="34" operator="between" text="High">
      <formula>NOT(ISERROR(SEARCH("High",E3)))</formula>
    </cfRule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4"/>
  <sheetViews>
    <sheetView zoomScale="81" zoomScaleNormal="81" topLeftCell="A8" workbookViewId="0">
      <selection activeCell="E5" sqref="E5"/>
    </sheetView>
  </sheetViews>
  <sheetFormatPr defaultColWidth="8.83333333333333" defaultRowHeight="15"/>
  <cols>
    <col min="1" max="1" width="3.33333333333333" customWidth="1"/>
    <col min="2" max="2" width="15.6666666666667" customWidth="1"/>
    <col min="3" max="3" width="35.6666666666667" customWidth="1"/>
    <col min="4" max="4" width="22.8333333333333" customWidth="1"/>
    <col min="5" max="6" width="32.6666666666667" customWidth="1"/>
    <col min="7" max="7" width="15.6666666666667" customWidth="1"/>
    <col min="8" max="8" width="12.6666666666667" customWidth="1"/>
    <col min="9" max="9" width="49.3333333333333" customWidth="1"/>
    <col min="10" max="10" width="12.6666666666667" customWidth="1"/>
    <col min="11" max="11" width="24.1666666666667" customWidth="1"/>
    <col min="12" max="12" width="25.6666666666667" customWidth="1"/>
    <col min="13" max="13" width="28.5" customWidth="1"/>
    <col min="14" max="14" width="42.6666666666667" customWidth="1"/>
    <col min="15" max="15" width="3.33333333333333" customWidth="1"/>
  </cols>
  <sheetData>
    <row r="1" ht="27.6" spans="2:15">
      <c r="B1" s="44" t="s">
        <v>58</v>
      </c>
      <c r="C1" s="44"/>
      <c r="D1" s="44"/>
      <c r="E1" s="44"/>
      <c r="F1" s="44"/>
      <c r="G1" s="44"/>
      <c r="H1" s="44"/>
      <c r="I1" s="44"/>
      <c r="J1" s="75"/>
      <c r="K1" s="75"/>
      <c r="L1" s="75"/>
      <c r="M1" s="75"/>
      <c r="N1" s="75"/>
      <c r="O1" s="75"/>
    </row>
    <row r="2" ht="27.6" spans="2:13">
      <c r="B2" s="45" t="s">
        <v>24</v>
      </c>
      <c r="C2" s="46" t="s">
        <v>25</v>
      </c>
      <c r="D2" s="46" t="s">
        <v>26</v>
      </c>
      <c r="E2" s="46" t="s">
        <v>27</v>
      </c>
      <c r="F2" s="47" t="s">
        <v>28</v>
      </c>
      <c r="G2" s="47" t="s">
        <v>29</v>
      </c>
      <c r="H2" s="47" t="s">
        <v>30</v>
      </c>
      <c r="I2" s="46" t="s">
        <v>31</v>
      </c>
      <c r="M2" s="76"/>
    </row>
    <row r="3" ht="54" customHeight="1" spans="2:13">
      <c r="B3" s="48" t="s">
        <v>37</v>
      </c>
      <c r="C3" s="48" t="s">
        <v>59</v>
      </c>
      <c r="D3" s="36" t="s">
        <v>46</v>
      </c>
      <c r="E3" s="29" t="s">
        <v>35</v>
      </c>
      <c r="F3" s="49">
        <v>46713</v>
      </c>
      <c r="G3" s="49">
        <v>46719</v>
      </c>
      <c r="H3" s="50">
        <v>7</v>
      </c>
      <c r="I3" s="48" t="s">
        <v>60</v>
      </c>
      <c r="M3" s="77"/>
    </row>
    <row r="4" ht="53" customHeight="1" spans="2:13">
      <c r="B4" s="48" t="s">
        <v>37</v>
      </c>
      <c r="C4" s="48" t="s">
        <v>61</v>
      </c>
      <c r="D4" s="36" t="s">
        <v>46</v>
      </c>
      <c r="E4" s="29" t="s">
        <v>47</v>
      </c>
      <c r="F4" s="49">
        <v>46722</v>
      </c>
      <c r="G4" s="49">
        <v>46724</v>
      </c>
      <c r="H4" s="50">
        <v>3</v>
      </c>
      <c r="I4" s="48" t="s">
        <v>62</v>
      </c>
      <c r="M4" s="77"/>
    </row>
    <row r="5" ht="75" customHeight="1" spans="2:13">
      <c r="B5" s="48" t="s">
        <v>37</v>
      </c>
      <c r="C5" s="48" t="s">
        <v>63</v>
      </c>
      <c r="D5" s="36" t="s">
        <v>46</v>
      </c>
      <c r="E5" s="29" t="s">
        <v>47</v>
      </c>
      <c r="F5" s="52">
        <v>46713</v>
      </c>
      <c r="G5" s="52">
        <v>46715</v>
      </c>
      <c r="H5" s="56">
        <v>3</v>
      </c>
      <c r="I5" s="86" t="s">
        <v>64</v>
      </c>
      <c r="M5" s="77"/>
    </row>
    <row r="6" ht="89" customHeight="1" spans="2:13">
      <c r="B6" s="48" t="s">
        <v>37</v>
      </c>
      <c r="C6" s="48" t="s">
        <v>65</v>
      </c>
      <c r="D6" s="36" t="s">
        <v>46</v>
      </c>
      <c r="E6" s="29" t="s">
        <v>47</v>
      </c>
      <c r="F6" s="52">
        <v>46716</v>
      </c>
      <c r="G6" s="52">
        <v>46717</v>
      </c>
      <c r="H6" s="53">
        <v>2</v>
      </c>
      <c r="I6" s="78" t="s">
        <v>66</v>
      </c>
      <c r="M6" s="77"/>
    </row>
    <row r="7" ht="85" customHeight="1" spans="2:13">
      <c r="B7" s="48" t="s">
        <v>37</v>
      </c>
      <c r="C7" s="48" t="s">
        <v>67</v>
      </c>
      <c r="D7" s="36" t="s">
        <v>46</v>
      </c>
      <c r="E7" s="31" t="s">
        <v>56</v>
      </c>
      <c r="F7" s="55">
        <v>46720</v>
      </c>
      <c r="G7" s="55">
        <v>46721</v>
      </c>
      <c r="H7" s="56">
        <v>2</v>
      </c>
      <c r="I7" s="79" t="s">
        <v>68</v>
      </c>
      <c r="M7" s="77"/>
    </row>
    <row r="8" ht="92" customHeight="1" spans="2:13">
      <c r="B8" s="83" t="s">
        <v>37</v>
      </c>
      <c r="C8" s="84" t="s">
        <v>69</v>
      </c>
      <c r="D8" s="36" t="s">
        <v>46</v>
      </c>
      <c r="E8" s="85" t="s">
        <v>35</v>
      </c>
      <c r="F8" s="49">
        <v>46722</v>
      </c>
      <c r="G8" s="49">
        <v>46723</v>
      </c>
      <c r="H8" s="50">
        <v>2</v>
      </c>
      <c r="I8" s="87" t="s">
        <v>70</v>
      </c>
      <c r="M8" s="77"/>
    </row>
    <row r="9" ht="22" customHeight="1" spans="2:13">
      <c r="B9" s="54"/>
      <c r="C9" s="54"/>
      <c r="D9" s="57"/>
      <c r="E9" s="58"/>
      <c r="F9" s="55"/>
      <c r="G9" s="55"/>
      <c r="H9" s="56"/>
      <c r="I9" s="77"/>
      <c r="M9" s="77"/>
    </row>
    <row r="10" ht="22" customHeight="1" spans="2:13">
      <c r="B10" s="54"/>
      <c r="C10" s="54"/>
      <c r="D10" s="57"/>
      <c r="E10" s="58"/>
      <c r="F10" s="55"/>
      <c r="G10" s="55"/>
      <c r="H10" s="56"/>
      <c r="I10" s="77"/>
      <c r="M10" s="77"/>
    </row>
    <row r="11" ht="22" customHeight="1" spans="2:13">
      <c r="B11" s="54"/>
      <c r="C11" s="54"/>
      <c r="D11" s="57"/>
      <c r="E11" s="58"/>
      <c r="F11" s="55"/>
      <c r="G11" s="55"/>
      <c r="H11" s="56"/>
      <c r="I11" s="77"/>
      <c r="M11" s="77"/>
    </row>
    <row r="12" ht="22" customHeight="1" spans="2:13">
      <c r="B12" s="54"/>
      <c r="C12" s="54"/>
      <c r="D12" s="57"/>
      <c r="E12" s="58"/>
      <c r="F12" s="55"/>
      <c r="G12" s="55"/>
      <c r="H12" s="56"/>
      <c r="I12" s="77"/>
      <c r="M12" s="77"/>
    </row>
    <row r="13" ht="22" customHeight="1" spans="2:13">
      <c r="B13" s="54"/>
      <c r="C13" s="54"/>
      <c r="D13" s="57"/>
      <c r="E13" s="58"/>
      <c r="F13" s="55"/>
      <c r="G13" s="55"/>
      <c r="H13" s="56"/>
      <c r="I13" s="77"/>
      <c r="M13" s="77"/>
    </row>
    <row r="14" ht="22" customHeight="1" spans="2:13">
      <c r="B14" s="54"/>
      <c r="C14" s="54"/>
      <c r="D14" s="57"/>
      <c r="E14" s="58"/>
      <c r="F14" s="55"/>
      <c r="G14" s="55"/>
      <c r="H14" s="56"/>
      <c r="I14" s="77"/>
      <c r="M14" s="77"/>
    </row>
    <row r="15" ht="22" customHeight="1" spans="2:13">
      <c r="B15" s="54"/>
      <c r="C15" s="54"/>
      <c r="D15" s="57"/>
      <c r="E15" s="58"/>
      <c r="F15" s="59"/>
      <c r="G15" s="59"/>
      <c r="H15" s="56"/>
      <c r="I15" s="77"/>
      <c r="M15" s="77"/>
    </row>
    <row r="16" ht="22" customHeight="1" spans="2:13">
      <c r="B16" s="54"/>
      <c r="C16" s="54"/>
      <c r="D16" s="57"/>
      <c r="E16" s="58"/>
      <c r="F16" s="59"/>
      <c r="G16" s="59"/>
      <c r="H16" s="56"/>
      <c r="I16" s="77"/>
      <c r="M16" s="77"/>
    </row>
    <row r="17" ht="22" customHeight="1" spans="2:13">
      <c r="B17" s="54"/>
      <c r="C17" s="54"/>
      <c r="D17" s="57"/>
      <c r="E17" s="58"/>
      <c r="F17" s="59"/>
      <c r="G17" s="59"/>
      <c r="H17" s="56"/>
      <c r="I17" s="77"/>
      <c r="M17" s="77"/>
    </row>
    <row r="18" ht="22" customHeight="1" spans="2:13">
      <c r="B18" s="54"/>
      <c r="C18" s="54"/>
      <c r="D18" s="57"/>
      <c r="E18" s="58"/>
      <c r="F18" s="59"/>
      <c r="G18" s="59"/>
      <c r="H18" s="56"/>
      <c r="I18" s="77"/>
      <c r="M18" s="77"/>
    </row>
    <row r="19" ht="22" customHeight="1" spans="2:13">
      <c r="B19" s="54"/>
      <c r="C19" s="54"/>
      <c r="D19" s="57"/>
      <c r="E19" s="58"/>
      <c r="F19" s="59"/>
      <c r="G19" s="59"/>
      <c r="H19" s="56"/>
      <c r="I19" s="77"/>
      <c r="M19" s="77"/>
    </row>
    <row r="20" ht="22" customHeight="1" spans="2:13">
      <c r="B20" s="54"/>
      <c r="C20" s="54"/>
      <c r="D20" s="57"/>
      <c r="E20" s="58"/>
      <c r="F20" s="59"/>
      <c r="G20" s="59"/>
      <c r="H20" s="56"/>
      <c r="I20" s="77"/>
      <c r="M20" s="77"/>
    </row>
    <row r="21" ht="22" customHeight="1" spans="2:13">
      <c r="B21" s="54"/>
      <c r="C21" s="54"/>
      <c r="D21" s="57"/>
      <c r="E21" s="58"/>
      <c r="F21" s="59"/>
      <c r="G21" s="59"/>
      <c r="H21" s="56"/>
      <c r="I21" s="77"/>
      <c r="M21" s="77"/>
    </row>
    <row r="22" ht="16.8" spans="2:9">
      <c r="B22" s="60"/>
      <c r="C22" s="60"/>
      <c r="D22" s="60"/>
      <c r="E22" s="60"/>
      <c r="F22" s="61"/>
      <c r="G22" s="61"/>
      <c r="H22" s="62">
        <f>MAX(G3:G4)-MIN(F3:F4)+1</f>
        <v>12</v>
      </c>
      <c r="I22" s="60"/>
    </row>
    <row r="23" ht="22" customHeight="1"/>
    <row r="24" ht="45" customHeight="1" spans="2:14">
      <c r="B24" s="63" t="s">
        <v>43</v>
      </c>
      <c r="C24" s="64"/>
      <c r="D24" s="65"/>
      <c r="E24" s="66"/>
      <c r="F24" s="66"/>
      <c r="G24" s="66"/>
      <c r="H24" s="66"/>
      <c r="I24" s="66"/>
      <c r="J24" s="66"/>
      <c r="K24" s="66"/>
      <c r="L24" s="66"/>
      <c r="M24" s="66"/>
      <c r="N24" s="80"/>
    </row>
    <row r="25" ht="22" customHeight="1" spans="2:14">
      <c r="B25" s="67"/>
      <c r="C25" s="68"/>
      <c r="D25" s="69"/>
      <c r="E25" s="70"/>
      <c r="F25" s="70"/>
      <c r="G25" s="70"/>
      <c r="H25" s="70"/>
      <c r="I25" s="70"/>
      <c r="J25" s="70"/>
      <c r="K25" s="70"/>
      <c r="L25" s="70"/>
      <c r="M25" s="70"/>
      <c r="N25" s="81"/>
    </row>
    <row r="26" ht="22" customHeight="1" spans="2:14">
      <c r="B26" s="67"/>
      <c r="C26" s="68"/>
      <c r="D26" s="69"/>
      <c r="E26" s="70"/>
      <c r="F26" s="70"/>
      <c r="G26" s="70"/>
      <c r="H26" s="70"/>
      <c r="I26" s="70"/>
      <c r="J26" s="70"/>
      <c r="K26" s="70"/>
      <c r="L26" s="70"/>
      <c r="M26" s="70"/>
      <c r="N26" s="81"/>
    </row>
    <row r="27" ht="22" customHeight="1" spans="2:14">
      <c r="B27" s="67"/>
      <c r="C27" s="68"/>
      <c r="D27" s="69"/>
      <c r="E27" s="70"/>
      <c r="F27" s="70"/>
      <c r="G27" s="70"/>
      <c r="H27" s="70"/>
      <c r="I27" s="70"/>
      <c r="J27" s="70"/>
      <c r="K27" s="70"/>
      <c r="L27" s="70"/>
      <c r="M27" s="70"/>
      <c r="N27" s="81"/>
    </row>
    <row r="28" ht="22" customHeight="1" spans="2:14">
      <c r="B28" s="67"/>
      <c r="C28" s="68"/>
      <c r="D28" s="69"/>
      <c r="E28" s="70"/>
      <c r="F28" s="70"/>
      <c r="G28" s="70"/>
      <c r="H28" s="70"/>
      <c r="I28" s="70"/>
      <c r="J28" s="70"/>
      <c r="K28" s="70"/>
      <c r="L28" s="70"/>
      <c r="M28" s="70"/>
      <c r="N28" s="81"/>
    </row>
    <row r="29" ht="22" customHeight="1" spans="2:14">
      <c r="B29" s="67"/>
      <c r="C29" s="68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81"/>
    </row>
    <row r="30" ht="22" customHeight="1" spans="2:14">
      <c r="B30" s="67"/>
      <c r="C30" s="68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81"/>
    </row>
    <row r="31" ht="22" customHeight="1" spans="2:14">
      <c r="B31" s="67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81"/>
    </row>
    <row r="32" ht="22" customHeight="1" spans="2:14">
      <c r="B32" s="67"/>
      <c r="C32" s="68"/>
      <c r="D32" s="69"/>
      <c r="E32" s="70"/>
      <c r="F32" s="70"/>
      <c r="G32" s="70"/>
      <c r="H32" s="70"/>
      <c r="I32" s="70"/>
      <c r="J32" s="70"/>
      <c r="K32" s="70"/>
      <c r="L32" s="70"/>
      <c r="M32" s="70"/>
      <c r="N32" s="81"/>
    </row>
    <row r="33" ht="22" customHeight="1" spans="2:14">
      <c r="B33" s="71"/>
      <c r="C33" s="72"/>
      <c r="D33" s="73"/>
      <c r="E33" s="74"/>
      <c r="F33" s="74"/>
      <c r="G33" s="74"/>
      <c r="H33" s="74"/>
      <c r="I33" s="74"/>
      <c r="J33" s="74"/>
      <c r="K33" s="74"/>
      <c r="L33" s="74"/>
      <c r="M33" s="74"/>
      <c r="N33" s="82"/>
    </row>
    <row r="34" ht="22" customHeight="1"/>
  </sheetData>
  <mergeCells count="3">
    <mergeCell ref="B1:I1"/>
    <mergeCell ref="B24:D33"/>
    <mergeCell ref="E24:N33"/>
  </mergeCells>
  <conditionalFormatting sqref="E7">
    <cfRule type="containsText" dxfId="7" priority="16" operator="between" text="High">
      <formula>NOT(ISERROR(SEARCH("High",E7)))</formula>
    </cfRule>
    <cfRule type="containsText" dxfId="6" priority="15" operator="between" text="Medium">
      <formula>NOT(ISERROR(SEARCH("Medium",E7)))</formula>
    </cfRule>
    <cfRule type="containsText" dxfId="5" priority="14" operator="between" text="Low">
      <formula>NOT(ISERROR(SEARCH("Low",E7)))</formula>
    </cfRule>
  </conditionalFormatting>
  <conditionalFormatting sqref="D8">
    <cfRule type="containsText" dxfId="4" priority="5" operator="between" text="In Progress">
      <formula>NOT(ISERROR(SEARCH("In Progress",D8)))</formula>
    </cfRule>
    <cfRule type="containsText" dxfId="3" priority="4" operator="between" text="Ready to Start">
      <formula>NOT(ISERROR(SEARCH("Ready to Start",D8)))</formula>
    </cfRule>
    <cfRule type="containsText" dxfId="2" priority="3" operator="between" text="Complete">
      <formula>NOT(ISERROR(SEARCH("Complete",D8)))</formula>
    </cfRule>
    <cfRule type="containsText" dxfId="1" priority="2" operator="between" text="On Hold">
      <formula>NOT(ISERROR(SEARCH("On Hold",D8)))</formula>
    </cfRule>
    <cfRule type="containsText" dxfId="0" priority="1" operator="between" text="Testing">
      <formula>NOT(ISERROR(SEARCH("Testing",D8)))</formula>
    </cfRule>
  </conditionalFormatting>
  <conditionalFormatting sqref="E8">
    <cfRule type="containsText" dxfId="7" priority="13" operator="between" text="High">
      <formula>NOT(ISERROR(SEARCH("High",E8)))</formula>
    </cfRule>
    <cfRule type="containsText" dxfId="6" priority="12" operator="between" text="Medium">
      <formula>NOT(ISERROR(SEARCH("Medium",E8)))</formula>
    </cfRule>
    <cfRule type="containsText" dxfId="5" priority="11" operator="between" text="Low">
      <formula>NOT(ISERROR(SEARCH("Low",E8)))</formula>
    </cfRule>
  </conditionalFormatting>
  <conditionalFormatting sqref="D3:D7;D9:D21">
    <cfRule type="containsText" dxfId="0" priority="20" operator="between" text="Testing">
      <formula>NOT(ISERROR(SEARCH("Testing",D3)))</formula>
    </cfRule>
    <cfRule type="containsText" dxfId="1" priority="21" operator="between" text="On Hold">
      <formula>NOT(ISERROR(SEARCH("On Hold",D3)))</formula>
    </cfRule>
    <cfRule type="containsText" dxfId="2" priority="22" operator="between" text="Complete">
      <formula>NOT(ISERROR(SEARCH("Complete",D3)))</formula>
    </cfRule>
    <cfRule type="containsText" dxfId="3" priority="23" operator="between" text="Ready to Start">
      <formula>NOT(ISERROR(SEARCH("Ready to Start",D3)))</formula>
    </cfRule>
    <cfRule type="containsText" dxfId="4" priority="24" operator="between" text="In Progress">
      <formula>NOT(ISERROR(SEARCH("In Progress",D3)))</formula>
    </cfRule>
  </conditionalFormatting>
  <conditionalFormatting sqref="E3:E6;E9:E21">
    <cfRule type="containsText" dxfId="5" priority="17" operator="between" text="Low">
      <formula>NOT(ISERROR(SEARCH("Low",E3)))</formula>
    </cfRule>
    <cfRule type="containsText" dxfId="6" priority="18" operator="between" text="Medium">
      <formula>NOT(ISERROR(SEARCH("Medium",E3)))</formula>
    </cfRule>
    <cfRule type="containsText" dxfId="7" priority="19" operator="between" text="High">
      <formula>NOT(ISERROR(SEARCH("High",E3)))</formula>
    </cfRule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4"/>
  <sheetViews>
    <sheetView tabSelected="1" zoomScale="81" zoomScaleNormal="81" topLeftCell="D2" workbookViewId="0">
      <selection activeCell="F8" sqref="F8"/>
    </sheetView>
  </sheetViews>
  <sheetFormatPr defaultColWidth="8.83333333333333" defaultRowHeight="15"/>
  <cols>
    <col min="1" max="1" width="3.33333333333333" customWidth="1"/>
    <col min="2" max="2" width="15.6666666666667" customWidth="1"/>
    <col min="3" max="3" width="35.6666666666667" customWidth="1"/>
    <col min="4" max="4" width="22.8333333333333" customWidth="1"/>
    <col min="5" max="6" width="32.6666666666667" customWidth="1"/>
    <col min="7" max="7" width="15.6666666666667" customWidth="1"/>
    <col min="8" max="8" width="12.6666666666667" customWidth="1"/>
    <col min="9" max="9" width="49.3333333333333" customWidth="1"/>
    <col min="10" max="10" width="12.6666666666667" customWidth="1"/>
    <col min="11" max="11" width="24.1666666666667" customWidth="1"/>
    <col min="12" max="12" width="25.6666666666667" customWidth="1"/>
    <col min="13" max="13" width="28.5" customWidth="1"/>
    <col min="14" max="14" width="42.6666666666667" customWidth="1"/>
    <col min="15" max="15" width="3.33333333333333" customWidth="1"/>
  </cols>
  <sheetData>
    <row r="1" ht="27.6" spans="2:15">
      <c r="B1" s="44" t="s">
        <v>71</v>
      </c>
      <c r="C1" s="44"/>
      <c r="D1" s="44"/>
      <c r="E1" s="44"/>
      <c r="F1" s="44"/>
      <c r="G1" s="44"/>
      <c r="H1" s="44"/>
      <c r="I1" s="44"/>
      <c r="J1" s="75"/>
      <c r="K1" s="75"/>
      <c r="L1" s="75"/>
      <c r="M1" s="75"/>
      <c r="N1" s="75"/>
      <c r="O1" s="75"/>
    </row>
    <row r="2" ht="27.6" spans="2:13">
      <c r="B2" s="45" t="s">
        <v>24</v>
      </c>
      <c r="C2" s="46" t="s">
        <v>25</v>
      </c>
      <c r="D2" s="46" t="s">
        <v>26</v>
      </c>
      <c r="E2" s="46" t="s">
        <v>27</v>
      </c>
      <c r="F2" s="47" t="s">
        <v>28</v>
      </c>
      <c r="G2" s="47" t="s">
        <v>29</v>
      </c>
      <c r="H2" s="47" t="s">
        <v>30</v>
      </c>
      <c r="I2" s="46" t="s">
        <v>31</v>
      </c>
      <c r="M2" s="76"/>
    </row>
    <row r="3" ht="40" customHeight="1" spans="2:13">
      <c r="B3" s="48" t="s">
        <v>37</v>
      </c>
      <c r="C3" s="48" t="s">
        <v>72</v>
      </c>
      <c r="D3" s="36" t="s">
        <v>46</v>
      </c>
      <c r="E3" s="31" t="s">
        <v>56</v>
      </c>
      <c r="F3" s="49">
        <v>46731</v>
      </c>
      <c r="G3" s="49">
        <v>46732</v>
      </c>
      <c r="H3" s="50">
        <v>2</v>
      </c>
      <c r="I3" s="48" t="s">
        <v>73</v>
      </c>
      <c r="M3" s="77"/>
    </row>
    <row r="4" ht="57" customHeight="1" spans="2:13">
      <c r="B4" s="48" t="s">
        <v>37</v>
      </c>
      <c r="C4" s="48" t="s">
        <v>74</v>
      </c>
      <c r="D4" s="36" t="s">
        <v>46</v>
      </c>
      <c r="E4" s="31" t="s">
        <v>56</v>
      </c>
      <c r="F4" s="49">
        <v>46731</v>
      </c>
      <c r="G4" s="49">
        <v>46732</v>
      </c>
      <c r="H4" s="50">
        <v>2</v>
      </c>
      <c r="I4" s="48" t="s">
        <v>75</v>
      </c>
      <c r="M4" s="77"/>
    </row>
    <row r="5" ht="46" customHeight="1" spans="2:13">
      <c r="B5" s="48" t="s">
        <v>37</v>
      </c>
      <c r="C5" s="48" t="s">
        <v>76</v>
      </c>
      <c r="D5" s="36" t="s">
        <v>46</v>
      </c>
      <c r="E5" s="29" t="s">
        <v>47</v>
      </c>
      <c r="F5" s="49">
        <v>46729</v>
      </c>
      <c r="G5" s="49">
        <v>46730</v>
      </c>
      <c r="H5" s="50">
        <v>2</v>
      </c>
      <c r="I5" s="48" t="s">
        <v>77</v>
      </c>
      <c r="M5" s="77"/>
    </row>
    <row r="6" ht="60" customHeight="1" spans="2:13">
      <c r="B6" s="48" t="s">
        <v>37</v>
      </c>
      <c r="C6" s="51" t="s">
        <v>78</v>
      </c>
      <c r="D6" s="36" t="s">
        <v>46</v>
      </c>
      <c r="E6" s="29" t="s">
        <v>47</v>
      </c>
      <c r="F6" s="52">
        <v>46731</v>
      </c>
      <c r="G6" s="52">
        <v>46734</v>
      </c>
      <c r="H6" s="53">
        <v>4</v>
      </c>
      <c r="I6" s="78" t="s">
        <v>79</v>
      </c>
      <c r="M6" s="77"/>
    </row>
    <row r="7" ht="43" customHeight="1" spans="2:13">
      <c r="B7" s="48" t="s">
        <v>37</v>
      </c>
      <c r="C7" s="54" t="s">
        <v>80</v>
      </c>
      <c r="D7" s="36" t="s">
        <v>46</v>
      </c>
      <c r="E7" s="29" t="s">
        <v>35</v>
      </c>
      <c r="F7" s="55">
        <v>46737</v>
      </c>
      <c r="G7" s="55">
        <v>46742</v>
      </c>
      <c r="H7" s="56">
        <v>6</v>
      </c>
      <c r="I7" s="79" t="s">
        <v>81</v>
      </c>
      <c r="M7" s="77"/>
    </row>
    <row r="8" ht="63" customHeight="1" spans="2:13">
      <c r="B8" s="48" t="s">
        <v>37</v>
      </c>
      <c r="C8" s="48" t="s">
        <v>82</v>
      </c>
      <c r="D8" s="36" t="s">
        <v>46</v>
      </c>
      <c r="E8" s="29" t="s">
        <v>47</v>
      </c>
      <c r="F8" s="55">
        <v>46745</v>
      </c>
      <c r="G8" s="55">
        <v>46748</v>
      </c>
      <c r="H8" s="56">
        <v>4</v>
      </c>
      <c r="I8" s="79" t="s">
        <v>83</v>
      </c>
      <c r="M8" s="77"/>
    </row>
    <row r="9" ht="54" customHeight="1" spans="2:13">
      <c r="B9" s="54" t="s">
        <v>37</v>
      </c>
      <c r="C9" s="54" t="s">
        <v>84</v>
      </c>
      <c r="D9" s="36" t="s">
        <v>46</v>
      </c>
      <c r="E9" s="29" t="s">
        <v>35</v>
      </c>
      <c r="F9" s="55">
        <v>46751</v>
      </c>
      <c r="G9" s="55">
        <v>46756</v>
      </c>
      <c r="H9" s="56">
        <v>6</v>
      </c>
      <c r="I9" s="79" t="s">
        <v>85</v>
      </c>
      <c r="M9" s="77"/>
    </row>
    <row r="10" ht="22" customHeight="1" spans="2:13">
      <c r="B10" s="54"/>
      <c r="C10" s="54"/>
      <c r="D10" s="57"/>
      <c r="E10" s="58"/>
      <c r="F10" s="55"/>
      <c r="G10" s="55"/>
      <c r="H10" s="56"/>
      <c r="I10" s="77"/>
      <c r="M10" s="77"/>
    </row>
    <row r="11" ht="22" customHeight="1" spans="2:13">
      <c r="B11" s="54"/>
      <c r="C11" s="54"/>
      <c r="D11" s="57"/>
      <c r="E11" s="58"/>
      <c r="F11" s="55"/>
      <c r="G11" s="55"/>
      <c r="H11" s="56"/>
      <c r="I11" s="77"/>
      <c r="M11" s="77"/>
    </row>
    <row r="12" ht="22" customHeight="1" spans="2:13">
      <c r="B12" s="54"/>
      <c r="C12" s="54"/>
      <c r="D12" s="57"/>
      <c r="E12" s="58"/>
      <c r="F12" s="55"/>
      <c r="G12" s="55"/>
      <c r="H12" s="56"/>
      <c r="I12" s="77"/>
      <c r="M12" s="77"/>
    </row>
    <row r="13" ht="22" customHeight="1" spans="2:13">
      <c r="B13" s="54"/>
      <c r="C13" s="54"/>
      <c r="D13" s="57"/>
      <c r="E13" s="58"/>
      <c r="F13" s="55"/>
      <c r="G13" s="55"/>
      <c r="H13" s="56"/>
      <c r="I13" s="77"/>
      <c r="M13" s="77"/>
    </row>
    <row r="14" ht="22" customHeight="1" spans="2:13">
      <c r="B14" s="54"/>
      <c r="C14" s="54"/>
      <c r="D14" s="57"/>
      <c r="E14" s="58"/>
      <c r="F14" s="55"/>
      <c r="G14" s="55"/>
      <c r="H14" s="56"/>
      <c r="I14" s="77"/>
      <c r="M14" s="77"/>
    </row>
    <row r="15" ht="22" customHeight="1" spans="2:13">
      <c r="B15" s="54"/>
      <c r="C15" s="54"/>
      <c r="D15" s="57"/>
      <c r="E15" s="58"/>
      <c r="F15" s="59"/>
      <c r="G15" s="59"/>
      <c r="H15" s="56"/>
      <c r="I15" s="77"/>
      <c r="M15" s="77"/>
    </row>
    <row r="16" ht="22" customHeight="1" spans="2:13">
      <c r="B16" s="54"/>
      <c r="C16" s="54"/>
      <c r="D16" s="57"/>
      <c r="E16" s="58"/>
      <c r="F16" s="59"/>
      <c r="G16" s="59"/>
      <c r="H16" s="56"/>
      <c r="I16" s="77"/>
      <c r="M16" s="77"/>
    </row>
    <row r="17" ht="22" customHeight="1" spans="2:13">
      <c r="B17" s="54"/>
      <c r="C17" s="54"/>
      <c r="D17" s="57"/>
      <c r="E17" s="58"/>
      <c r="F17" s="59"/>
      <c r="G17" s="59"/>
      <c r="H17" s="56"/>
      <c r="I17" s="77"/>
      <c r="M17" s="77"/>
    </row>
    <row r="18" ht="22" customHeight="1" spans="2:13">
      <c r="B18" s="54"/>
      <c r="C18" s="54"/>
      <c r="D18" s="57"/>
      <c r="E18" s="58"/>
      <c r="F18" s="59"/>
      <c r="G18" s="59"/>
      <c r="H18" s="56"/>
      <c r="I18" s="77"/>
      <c r="M18" s="77"/>
    </row>
    <row r="19" ht="22" customHeight="1" spans="2:13">
      <c r="B19" s="54"/>
      <c r="C19" s="54"/>
      <c r="D19" s="57"/>
      <c r="E19" s="58"/>
      <c r="F19" s="59"/>
      <c r="G19" s="59"/>
      <c r="H19" s="56"/>
      <c r="I19" s="77"/>
      <c r="M19" s="77"/>
    </row>
    <row r="20" ht="22" customHeight="1" spans="2:13">
      <c r="B20" s="54"/>
      <c r="C20" s="54"/>
      <c r="D20" s="57"/>
      <c r="E20" s="58"/>
      <c r="F20" s="59"/>
      <c r="G20" s="59"/>
      <c r="H20" s="56"/>
      <c r="I20" s="77"/>
      <c r="M20" s="77"/>
    </row>
    <row r="21" ht="22" customHeight="1" spans="2:13">
      <c r="B21" s="54"/>
      <c r="C21" s="54"/>
      <c r="D21" s="57"/>
      <c r="E21" s="58"/>
      <c r="F21" s="59"/>
      <c r="G21" s="59"/>
      <c r="H21" s="56"/>
      <c r="I21" s="77"/>
      <c r="M21" s="77"/>
    </row>
    <row r="22" ht="16.8" spans="2:9">
      <c r="B22" s="60"/>
      <c r="C22" s="60"/>
      <c r="D22" s="60"/>
      <c r="E22" s="60"/>
      <c r="F22" s="61"/>
      <c r="G22" s="61"/>
      <c r="H22" s="62">
        <f>MAX(G3:G5)-MIN(F3:F5)+1</f>
        <v>4</v>
      </c>
      <c r="I22" s="60"/>
    </row>
    <row r="23" ht="22" customHeight="1"/>
    <row r="24" ht="45" customHeight="1" spans="2:14">
      <c r="B24" s="63" t="s">
        <v>43</v>
      </c>
      <c r="C24" s="64"/>
      <c r="D24" s="65"/>
      <c r="E24" s="66"/>
      <c r="F24" s="66"/>
      <c r="G24" s="66"/>
      <c r="H24" s="66"/>
      <c r="I24" s="66"/>
      <c r="J24" s="66"/>
      <c r="K24" s="66"/>
      <c r="L24" s="66"/>
      <c r="M24" s="66"/>
      <c r="N24" s="80"/>
    </row>
    <row r="25" ht="22" customHeight="1" spans="2:14">
      <c r="B25" s="67"/>
      <c r="C25" s="68"/>
      <c r="D25" s="69"/>
      <c r="E25" s="70"/>
      <c r="F25" s="70"/>
      <c r="G25" s="70"/>
      <c r="H25" s="70"/>
      <c r="I25" s="70"/>
      <c r="J25" s="70"/>
      <c r="K25" s="70"/>
      <c r="L25" s="70"/>
      <c r="M25" s="70"/>
      <c r="N25" s="81"/>
    </row>
    <row r="26" ht="22" customHeight="1" spans="2:14">
      <c r="B26" s="67"/>
      <c r="C26" s="68"/>
      <c r="D26" s="69"/>
      <c r="E26" s="70"/>
      <c r="F26" s="70"/>
      <c r="G26" s="70"/>
      <c r="H26" s="70"/>
      <c r="I26" s="70"/>
      <c r="J26" s="70"/>
      <c r="K26" s="70"/>
      <c r="L26" s="70"/>
      <c r="M26" s="70"/>
      <c r="N26" s="81"/>
    </row>
    <row r="27" ht="22" customHeight="1" spans="2:14">
      <c r="B27" s="67"/>
      <c r="C27" s="68"/>
      <c r="D27" s="69"/>
      <c r="E27" s="70"/>
      <c r="F27" s="70"/>
      <c r="G27" s="70"/>
      <c r="H27" s="70"/>
      <c r="I27" s="70"/>
      <c r="J27" s="70"/>
      <c r="K27" s="70"/>
      <c r="L27" s="70"/>
      <c r="M27" s="70"/>
      <c r="N27" s="81"/>
    </row>
    <row r="28" ht="22" customHeight="1" spans="2:14">
      <c r="B28" s="67"/>
      <c r="C28" s="68"/>
      <c r="D28" s="69"/>
      <c r="E28" s="70"/>
      <c r="F28" s="70"/>
      <c r="G28" s="70"/>
      <c r="H28" s="70"/>
      <c r="I28" s="70"/>
      <c r="J28" s="70"/>
      <c r="K28" s="70"/>
      <c r="L28" s="70"/>
      <c r="M28" s="70"/>
      <c r="N28" s="81"/>
    </row>
    <row r="29" ht="22" customHeight="1" spans="2:14">
      <c r="B29" s="67"/>
      <c r="C29" s="68"/>
      <c r="D29" s="69"/>
      <c r="E29" s="70"/>
      <c r="F29" s="70"/>
      <c r="G29" s="70"/>
      <c r="H29" s="70"/>
      <c r="I29" s="70"/>
      <c r="J29" s="70"/>
      <c r="K29" s="70"/>
      <c r="L29" s="70"/>
      <c r="M29" s="70"/>
      <c r="N29" s="81"/>
    </row>
    <row r="30" ht="22" customHeight="1" spans="2:14">
      <c r="B30" s="67"/>
      <c r="C30" s="68"/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81"/>
    </row>
    <row r="31" ht="22" customHeight="1" spans="2:14">
      <c r="B31" s="67"/>
      <c r="C31" s="68"/>
      <c r="D31" s="69"/>
      <c r="E31" s="70"/>
      <c r="F31" s="70"/>
      <c r="G31" s="70"/>
      <c r="H31" s="70"/>
      <c r="I31" s="70"/>
      <c r="J31" s="70"/>
      <c r="K31" s="70"/>
      <c r="L31" s="70"/>
      <c r="M31" s="70"/>
      <c r="N31" s="81"/>
    </row>
    <row r="32" ht="22" customHeight="1" spans="2:14">
      <c r="B32" s="67"/>
      <c r="C32" s="68"/>
      <c r="D32" s="69"/>
      <c r="E32" s="70"/>
      <c r="F32" s="70"/>
      <c r="G32" s="70"/>
      <c r="H32" s="70"/>
      <c r="I32" s="70"/>
      <c r="J32" s="70"/>
      <c r="K32" s="70"/>
      <c r="L32" s="70"/>
      <c r="M32" s="70"/>
      <c r="N32" s="81"/>
    </row>
    <row r="33" ht="22" customHeight="1" spans="2:14">
      <c r="B33" s="71"/>
      <c r="C33" s="72"/>
      <c r="D33" s="73"/>
      <c r="E33" s="74"/>
      <c r="F33" s="74"/>
      <c r="G33" s="74"/>
      <c r="H33" s="74"/>
      <c r="I33" s="74"/>
      <c r="J33" s="74"/>
      <c r="K33" s="74"/>
      <c r="L33" s="74"/>
      <c r="M33" s="74"/>
      <c r="N33" s="82"/>
    </row>
    <row r="34" ht="22" customHeight="1"/>
  </sheetData>
  <mergeCells count="3">
    <mergeCell ref="B1:I1"/>
    <mergeCell ref="B24:D33"/>
    <mergeCell ref="E24:N33"/>
  </mergeCells>
  <conditionalFormatting sqref="E7">
    <cfRule type="containsText" dxfId="7" priority="6" operator="between" text="High">
      <formula>NOT(ISERROR(SEARCH("High",E7)))</formula>
    </cfRule>
    <cfRule type="containsText" dxfId="6" priority="5" operator="between" text="Medium">
      <formula>NOT(ISERROR(SEARCH("Medium",E7)))</formula>
    </cfRule>
    <cfRule type="containsText" dxfId="5" priority="4" operator="between" text="Low">
      <formula>NOT(ISERROR(SEARCH("Low",E7)))</formula>
    </cfRule>
  </conditionalFormatting>
  <conditionalFormatting sqref="E9">
    <cfRule type="containsText" dxfId="7" priority="3" operator="between" text="High">
      <formula>NOT(ISERROR(SEARCH("High",E9)))</formula>
    </cfRule>
    <cfRule type="containsText" dxfId="6" priority="2" operator="between" text="Medium">
      <formula>NOT(ISERROR(SEARCH("Medium",E9)))</formula>
    </cfRule>
    <cfRule type="containsText" dxfId="5" priority="1" operator="between" text="Low">
      <formula>NOT(ISERROR(SEARCH("Low",E9)))</formula>
    </cfRule>
  </conditionalFormatting>
  <conditionalFormatting sqref="D3:D21">
    <cfRule type="containsText" dxfId="0" priority="18" operator="between" text="Testing">
      <formula>NOT(ISERROR(SEARCH("Testing",D3)))</formula>
    </cfRule>
    <cfRule type="containsText" dxfId="1" priority="19" operator="between" text="On Hold">
      <formula>NOT(ISERROR(SEARCH("On Hold",D3)))</formula>
    </cfRule>
    <cfRule type="containsText" dxfId="2" priority="20" operator="between" text="Complete">
      <formula>NOT(ISERROR(SEARCH("Complete",D3)))</formula>
    </cfRule>
    <cfRule type="containsText" dxfId="3" priority="21" operator="between" text="Ready to Start">
      <formula>NOT(ISERROR(SEARCH("Ready to Start",D3)))</formula>
    </cfRule>
    <cfRule type="containsText" dxfId="4" priority="22" operator="between" text="In Progress">
      <formula>NOT(ISERROR(SEARCH("In Progress",D3)))</formula>
    </cfRule>
  </conditionalFormatting>
  <conditionalFormatting sqref="E3:E6;E8;E10:E21">
    <cfRule type="containsText" dxfId="5" priority="7" operator="between" text="Low">
      <formula>NOT(ISERROR(SEARCH("Low",E3)))</formula>
    </cfRule>
    <cfRule type="containsText" dxfId="6" priority="8" operator="between" text="Medium">
      <formula>NOT(ISERROR(SEARCH("Medium",E3)))</formula>
    </cfRule>
    <cfRule type="containsText" dxfId="7" priority="9" operator="between" text="High">
      <formula>NOT(ISERROR(SEARCH("High",E3)))</formula>
    </cfRule>
  </conditionalFormatting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6" sqref="B6"/>
    </sheetView>
  </sheetViews>
  <sheetFormatPr defaultColWidth="8.83333333333333" defaultRowHeight="15" outlineLevelCol="6"/>
  <cols>
    <col min="1" max="1" width="3.33333333333333" customWidth="1"/>
    <col min="2" max="2" width="22.6666666666667" customWidth="1"/>
    <col min="3" max="3" width="3.33333333333333" customWidth="1"/>
    <col min="4" max="4" width="22.6666666666667" customWidth="1"/>
    <col min="5" max="5" width="3.33333333333333" customWidth="1"/>
    <col min="6" max="6" width="22.6666666666667" customWidth="1"/>
  </cols>
  <sheetData>
    <row r="1" customHeight="1" spans="1:7">
      <c r="A1" s="2"/>
      <c r="B1" s="19" t="s">
        <v>86</v>
      </c>
      <c r="C1" s="19"/>
      <c r="D1" s="19"/>
      <c r="E1" s="20"/>
      <c r="F1" s="21"/>
      <c r="G1" s="21"/>
    </row>
    <row r="2" ht="27.75" customHeight="1" spans="1:7">
      <c r="A2" s="5"/>
      <c r="B2" s="22"/>
      <c r="C2" s="22"/>
      <c r="D2" s="22"/>
      <c r="E2" s="23"/>
      <c r="F2" s="21"/>
      <c r="G2" s="21"/>
    </row>
    <row r="3" spans="1:7">
      <c r="A3" s="5"/>
      <c r="B3" s="24" t="s">
        <v>87</v>
      </c>
      <c r="C3" s="25"/>
      <c r="D3" s="24" t="s">
        <v>88</v>
      </c>
      <c r="E3" s="26"/>
      <c r="F3" s="27"/>
      <c r="G3" s="28"/>
    </row>
    <row r="4" ht="22" customHeight="1" spans="1:7">
      <c r="A4" s="5"/>
      <c r="B4" s="29" t="s">
        <v>35</v>
      </c>
      <c r="C4" s="25"/>
      <c r="D4" s="29" t="s">
        <v>34</v>
      </c>
      <c r="E4" s="26"/>
      <c r="F4" s="30"/>
      <c r="G4" s="28"/>
    </row>
    <row r="5" spans="1:7">
      <c r="A5" s="5"/>
      <c r="B5" s="31" t="s">
        <v>47</v>
      </c>
      <c r="C5" s="25"/>
      <c r="D5" s="31" t="s">
        <v>39</v>
      </c>
      <c r="E5" s="26"/>
      <c r="F5" s="32"/>
      <c r="G5" s="28"/>
    </row>
    <row r="6" ht="22" customHeight="1" spans="1:7">
      <c r="A6" s="5"/>
      <c r="B6" s="31" t="s">
        <v>56</v>
      </c>
      <c r="C6" s="25"/>
      <c r="D6" s="31" t="s">
        <v>89</v>
      </c>
      <c r="E6" s="26"/>
      <c r="F6" s="32"/>
      <c r="G6" s="28"/>
    </row>
    <row r="7" ht="22" customHeight="1" spans="1:7">
      <c r="A7" s="5"/>
      <c r="B7" s="33"/>
      <c r="C7" s="25"/>
      <c r="D7" s="34" t="s">
        <v>90</v>
      </c>
      <c r="E7" s="26"/>
      <c r="F7" s="30"/>
      <c r="G7" s="28"/>
    </row>
    <row r="8" ht="22" customHeight="1" spans="1:7">
      <c r="A8" s="5"/>
      <c r="B8" s="33"/>
      <c r="C8" s="25"/>
      <c r="D8" s="35" t="s">
        <v>91</v>
      </c>
      <c r="E8" s="26"/>
      <c r="F8" s="30"/>
      <c r="G8" s="28"/>
    </row>
    <row r="9" ht="22" customHeight="1" spans="1:7">
      <c r="A9" s="5"/>
      <c r="B9" s="25"/>
      <c r="C9" s="25"/>
      <c r="D9" s="36" t="s">
        <v>46</v>
      </c>
      <c r="E9" s="26"/>
      <c r="F9" s="37"/>
      <c r="G9" s="28"/>
    </row>
    <row r="10" spans="1:7">
      <c r="A10" s="5"/>
      <c r="B10" s="25"/>
      <c r="C10" s="25"/>
      <c r="D10" s="25"/>
      <c r="E10" s="26"/>
      <c r="F10" s="37"/>
      <c r="G10" s="28"/>
    </row>
    <row r="11" spans="1:7">
      <c r="A11" s="5"/>
      <c r="B11" s="25"/>
      <c r="C11" s="38"/>
      <c r="D11" s="25"/>
      <c r="E11" s="26"/>
      <c r="F11" s="37"/>
      <c r="G11" s="28"/>
    </row>
    <row r="12" spans="1:7">
      <c r="A12" s="5"/>
      <c r="B12" s="25"/>
      <c r="C12" s="25"/>
      <c r="D12" s="25"/>
      <c r="E12" s="26"/>
      <c r="F12" s="37"/>
      <c r="G12" s="28"/>
    </row>
    <row r="13" spans="1:7">
      <c r="A13" s="5"/>
      <c r="B13" s="25"/>
      <c r="C13" s="25"/>
      <c r="D13" s="25"/>
      <c r="E13" s="26"/>
      <c r="F13" s="37"/>
      <c r="G13" s="28"/>
    </row>
    <row r="14" spans="1:7">
      <c r="A14" s="5"/>
      <c r="B14" s="25"/>
      <c r="C14" s="25"/>
      <c r="D14" s="25"/>
      <c r="E14" s="26"/>
      <c r="F14" s="37"/>
      <c r="G14" s="28"/>
    </row>
    <row r="15" spans="1:7">
      <c r="A15" s="5"/>
      <c r="B15" s="25"/>
      <c r="C15" s="25"/>
      <c r="D15" s="25"/>
      <c r="E15" s="26"/>
      <c r="F15" s="37"/>
      <c r="G15" s="28"/>
    </row>
    <row r="16" spans="1:7">
      <c r="A16" s="5"/>
      <c r="B16" s="25"/>
      <c r="C16" s="25"/>
      <c r="D16" s="25"/>
      <c r="E16" s="26"/>
      <c r="F16" s="37"/>
      <c r="G16" s="28"/>
    </row>
    <row r="17" ht="15.75" spans="1:7">
      <c r="A17" s="39"/>
      <c r="B17" s="40"/>
      <c r="C17" s="41"/>
      <c r="D17" s="41"/>
      <c r="E17" s="42"/>
      <c r="F17" s="37"/>
      <c r="G17" s="28"/>
    </row>
    <row r="18" spans="6:7">
      <c r="F18" s="43"/>
      <c r="G18" s="43"/>
    </row>
  </sheetData>
  <mergeCells count="1">
    <mergeCell ref="B1:E2"/>
  </mergeCells>
  <conditionalFormatting sqref="B4:B6">
    <cfRule type="containsText" dxfId="5" priority="6" operator="between" text="Low">
      <formula>NOT(ISERROR(SEARCH("Low",B4)))</formula>
    </cfRule>
    <cfRule type="containsText" dxfId="6" priority="7" operator="between" text="Medium">
      <formula>NOT(ISERROR(SEARCH("Medium",B4)))</formula>
    </cfRule>
    <cfRule type="containsText" dxfId="7" priority="8" operator="between" text="High">
      <formula>NOT(ISERROR(SEARCH("High",B4)))</formula>
    </cfRule>
  </conditionalFormatting>
  <conditionalFormatting sqref="B7:B9">
    <cfRule type="containsText" dxfId="8" priority="17" operator="between" text="Update">
      <formula>NOT(ISERROR(SEARCH("Update",B7)))</formula>
    </cfRule>
    <cfRule type="containsText" dxfId="9" priority="18" operator="between" text="Task">
      <formula>NOT(ISERROR(SEARCH("Task",B7)))</formula>
    </cfRule>
    <cfRule type="containsText" dxfId="10" priority="19" operator="between" text="Content">
      <formula>NOT(ISERROR(SEARCH("Content",B7)))</formula>
    </cfRule>
    <cfRule type="containsText" dxfId="11" priority="20" operator="between" text="Feature">
      <formula>NOT(ISERROR(SEARCH("Feature",B7)))</formula>
    </cfRule>
    <cfRule type="containsText" dxfId="12" priority="21" operator="between" text="Research">
      <formula>NOT(ISERROR(SEARCH("Research",B7)))</formula>
    </cfRule>
  </conditionalFormatting>
  <conditionalFormatting sqref="D4:D9">
    <cfRule type="containsText" dxfId="0" priority="1" operator="between" text="Testing">
      <formula>NOT(ISERROR(SEARCH("Testing",D4)))</formula>
    </cfRule>
    <cfRule type="containsText" dxfId="1" priority="2" operator="between" text="On Hold">
      <formula>NOT(ISERROR(SEARCH("On Hold",D4)))</formula>
    </cfRule>
    <cfRule type="containsText" dxfId="2" priority="3" operator="between" text="Complete">
      <formula>NOT(ISERROR(SEARCH("Complete",D4)))</formula>
    </cfRule>
    <cfRule type="containsText" dxfId="3" priority="4" operator="between" text="Ready to Start">
      <formula>NOT(ISERROR(SEARCH("Ready to Start",D4)))</formula>
    </cfRule>
    <cfRule type="containsText" dxfId="4" priority="5" operator="between" text="In Progress">
      <formula>NOT(ISERROR(SEARCH("In Progress",D4)))</formula>
    </cfRule>
  </conditionalFormatting>
  <conditionalFormatting sqref="F4:F9">
    <cfRule type="containsText" dxfId="0" priority="9" operator="between" text="Testing">
      <formula>NOT(ISERROR(SEARCH("Testing",F4)))</formula>
    </cfRule>
    <cfRule type="containsText" dxfId="1" priority="10" operator="between" text="On Hold">
      <formula>NOT(ISERROR(SEARCH("On Hold",F4)))</formula>
    </cfRule>
    <cfRule type="containsText" dxfId="2" priority="11" operator="between" text="Complete">
      <formula>NOT(ISERROR(SEARCH("Complete",F4)))</formula>
    </cfRule>
    <cfRule type="containsText" dxfId="3" priority="12" operator="between" text="Ready to Start">
      <formula>NOT(ISERROR(SEARCH("Ready to Start",F4)))</formula>
    </cfRule>
    <cfRule type="containsText" dxfId="4" priority="13" operator="between" text="In Progress">
      <formula>NOT(ISERROR(SEARCH("In Progress",F4)))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zoomScale="147" zoomScaleNormal="147" topLeftCell="A9" workbookViewId="0">
      <selection activeCell="E9" sqref="E9"/>
    </sheetView>
  </sheetViews>
  <sheetFormatPr defaultColWidth="8.83333333333333" defaultRowHeight="15.6" outlineLevelCol="4"/>
  <cols>
    <col min="1" max="1" width="3.33333333333333" customWidth="1"/>
    <col min="2" max="2" width="16.6666666666667" style="1" customWidth="1"/>
    <col min="4" max="4" width="56.8333333333333" customWidth="1"/>
  </cols>
  <sheetData>
    <row r="1" ht="15" spans="1:5">
      <c r="A1" s="2"/>
      <c r="B1" s="3"/>
      <c r="C1" s="3"/>
      <c r="D1" s="3"/>
      <c r="E1" s="4"/>
    </row>
    <row r="2" ht="27.6" spans="1:5">
      <c r="A2" s="5"/>
      <c r="B2" s="6" t="s">
        <v>92</v>
      </c>
      <c r="C2" s="6"/>
      <c r="D2" s="6"/>
      <c r="E2" s="7"/>
    </row>
    <row r="3" ht="15.75" customHeight="1" spans="1:5">
      <c r="A3" s="5"/>
      <c r="B3" s="8"/>
      <c r="C3" s="8"/>
      <c r="D3" s="8"/>
      <c r="E3" s="9"/>
    </row>
    <row r="4" ht="15.75" customHeight="1" spans="1:5">
      <c r="A4" s="5"/>
      <c r="B4" s="8"/>
      <c r="C4" s="8"/>
      <c r="D4" s="8"/>
      <c r="E4" s="9"/>
    </row>
    <row r="5" ht="18" customHeight="1" spans="1:5">
      <c r="A5" s="5"/>
      <c r="B5" s="8"/>
      <c r="C5" s="8"/>
      <c r="D5" s="8"/>
      <c r="E5" s="9"/>
    </row>
    <row r="6" spans="1:5">
      <c r="A6" s="5"/>
      <c r="B6" s="10"/>
      <c r="C6" s="11"/>
      <c r="D6" s="11"/>
      <c r="E6" s="9"/>
    </row>
    <row r="7" ht="16.8" spans="1:5">
      <c r="A7" s="5"/>
      <c r="B7" s="12" t="s">
        <v>93</v>
      </c>
      <c r="C7" s="11"/>
      <c r="D7" s="12" t="s">
        <v>94</v>
      </c>
      <c r="E7" s="9"/>
    </row>
    <row r="8" ht="225" customHeight="1" spans="1:5">
      <c r="A8" s="5"/>
      <c r="B8" s="13"/>
      <c r="C8" s="11"/>
      <c r="D8" s="11"/>
      <c r="E8" s="9"/>
    </row>
    <row r="9" ht="225" customHeight="1" spans="1:5">
      <c r="A9" s="5"/>
      <c r="B9" s="13"/>
      <c r="C9" s="11"/>
      <c r="D9" s="11"/>
      <c r="E9" s="9"/>
    </row>
    <row r="10" ht="169" customHeight="1" spans="1:5">
      <c r="A10" s="14"/>
      <c r="B10" s="15"/>
      <c r="C10" s="16"/>
      <c r="D10" s="16"/>
      <c r="E10" s="17"/>
    </row>
    <row r="11" ht="225" customHeight="1"/>
    <row r="12" ht="225" customHeight="1" spans="2:2">
      <c r="B12" s="18"/>
    </row>
    <row r="13" ht="225" customHeight="1"/>
    <row r="14" ht="225" customHeight="1"/>
    <row r="15" ht="225" customHeight="1"/>
    <row r="16" ht="225" customHeight="1"/>
    <row r="17" ht="225" customHeight="1"/>
    <row r="18" ht="225" customHeight="1"/>
    <row r="19" ht="225" customHeight="1"/>
    <row r="20" ht="225" customHeight="1"/>
    <row r="21" ht="225" customHeight="1"/>
    <row r="22" ht="225" customHeight="1"/>
    <row r="23" ht="225" customHeight="1"/>
    <row r="24" ht="225" customHeight="1"/>
    <row r="25" ht="225" customHeight="1"/>
    <row r="26" ht="225" customHeight="1"/>
    <row r="27" ht="225" customHeight="1"/>
    <row r="28" ht="225" customHeight="1"/>
    <row r="29" ht="225" customHeight="1"/>
    <row r="30" ht="225" customHeight="1"/>
    <row r="31" ht="225" customHeight="1"/>
    <row r="32" ht="225" customHeight="1"/>
    <row r="33" ht="225" customHeight="1"/>
    <row r="34" ht="225" customHeight="1"/>
    <row r="35" ht="225" customHeight="1"/>
    <row r="36" ht="225" customHeight="1"/>
    <row r="37" ht="225" customHeight="1"/>
    <row r="38" ht="225" customHeight="1"/>
    <row r="39" ht="225" customHeight="1"/>
    <row r="40" ht="225" customHeight="1"/>
    <row r="41" ht="225" customHeight="1"/>
  </sheetData>
  <mergeCells count="2">
    <mergeCell ref="B2:D2"/>
    <mergeCell ref="B3:D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erenp</cp:lastModifiedBy>
  <dcterms:created xsi:type="dcterms:W3CDTF">2025-03-05T20:23:00Z</dcterms:created>
  <dcterms:modified xsi:type="dcterms:W3CDTF">2026-04-15T14:37:20Z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9B4D4668E98343CE8000B9A2571EB58A_13</vt:lpwstr>
  </property>
  <property fmtid="{D5CDD505-2E9C-101B-9397-08002B2CF9AE}" pid="3" name="KSOProductBuildVer">
    <vt:lpwstr>1055-12.2.0.22549</vt:lpwstr>
  </property>
</Properties>
</file>